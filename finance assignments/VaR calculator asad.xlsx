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e assignments\"/>
    </mc:Choice>
  </mc:AlternateContent>
  <xr:revisionPtr revIDLastSave="0" documentId="8_{E1E26C93-0581-4B3E-BE2A-38C74E8ACE37}" xr6:coauthVersionLast="36" xr6:coauthVersionMax="36" xr10:uidLastSave="{00000000-0000-0000-0000-000000000000}"/>
  <bookViews>
    <workbookView xWindow="0" yWindow="0" windowWidth="23040" windowHeight="9060"/>
  </bookViews>
  <sheets>
    <sheet name="Apple Stock Price History" sheetId="1" r:id="rId1"/>
  </sheets>
  <calcPr calcId="0"/>
</workbook>
</file>

<file path=xl/calcChain.xml><?xml version="1.0" encoding="utf-8"?>
<calcChain xmlns="http://schemas.openxmlformats.org/spreadsheetml/2006/main">
  <c r="F11" i="1" l="1"/>
  <c r="F1" i="1"/>
  <c r="F6" i="1" s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" i="1"/>
</calcChain>
</file>

<file path=xl/sharedStrings.xml><?xml version="1.0" encoding="utf-8"?>
<sst xmlns="http://schemas.openxmlformats.org/spreadsheetml/2006/main" count="199" uniqueCount="199">
  <si>
    <t>Date</t>
  </si>
  <si>
    <t>Price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</si>
  <si>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</si>
  <si>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</si>
  <si>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</si>
  <si>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</si>
  <si>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</si>
  <si>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</si>
  <si>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</si>
  <si>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</si>
  <si>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</si>
  <si>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</si>
  <si>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</si>
  <si>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</si>
  <si>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</si>
  <si>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</si>
  <si>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</si>
  <si>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</si>
  <si>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</si>
  <si>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</si>
  <si>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</si>
  <si>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</si>
  <si>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</si>
  <si>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</si>
  <si>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</si>
  <si>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</si>
  <si>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</si>
  <si>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</si>
  <si>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</si>
  <si>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</si>
  <si>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</si>
  <si>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</si>
  <si>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</si>
  <si>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</si>
  <si>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</si>
  <si>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</si>
  <si>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</si>
  <si>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</si>
  <si>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</si>
  <si>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</si>
  <si>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</si>
  <si>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</si>
  <si>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</si>
  <si>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</si>
  <si>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</si>
  <si>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</si>
  <si>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</si>
  <si>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</si>
  <si>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</si>
  <si>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</si>
  <si>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</si>
  <si>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</si>
  <si>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</si>
  <si>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</si>
  <si>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</si>
  <si>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</si>
  <si>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</si>
  <si>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</si>
  <si>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</si>
  <si>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</si>
  <si>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</si>
  <si>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</si>
  <si>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</si>
  <si>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</si>
  <si>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</si>
  <si>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</si>
  <si>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</si>
  <si>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</si>
  <si>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</si>
  <si>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</si>
  <si>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</si>
  <si>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</si>
  <si>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</si>
  <si>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</si>
  <si>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</si>
  <si>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</si>
  <si>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</si>
  <si>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</si>
  <si>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</si>
  <si>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</si>
  <si>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</si>
  <si>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</si>
  <si>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</si>
  <si>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</si>
  <si>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</si>
  <si>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</si>
  <si>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</si>
  <si>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</si>
  <si>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</si>
  <si>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</si>
  <si>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</si>
  <si>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</si>
  <si>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</si>
  <si>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</si>
  <si>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</si>
  <si>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</si>
  <si>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</si>
  <si>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</si>
  <si>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</si>
  <si>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</si>
  <si>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</si>
  <si>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</si>
  <si>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</si>
  <si>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</si>
  <si>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</si>
  <si>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</si>
  <si>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</si>
  <si>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</si>
  <si>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</si>
  <si>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</si>
  <si>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</si>
  <si>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</si>
  <si>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</si>
  <si>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</si>
  <si>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</si>
  <si>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</si>
  <si>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</si>
  <si>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</si>
  <si>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</si>
  <si>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</si>
  <si>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</si>
  <si>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</si>
  <si>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</si>
  <si>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</si>
  <si>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</si>
  <si>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</si>
  <si>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</si>
  <si>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</si>
  <si>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</si>
  <si>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</si>
  <si>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</si>
  <si>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</si>
  <si>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</si>
  <si>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</si>
  <si>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</si>
  <si>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</si>
  <si>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</si>
  <si>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</si>
  <si>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</si>
  <si>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</si>
  <si>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</si>
  <si>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</si>
  <si>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</si>
  <si>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</si>
  <si>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</si>
  <si>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</si>
  <si>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</si>
  <si>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</si>
  <si>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</si>
  <si>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</si>
  <si>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</si>
  <si>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</si>
  <si>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</si>
  <si>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</si>
  <si>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</si>
  <si>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</si>
  <si>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</si>
  <si>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</si>
  <si>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</si>
  <si>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</si>
  <si>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</si>
  <si>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</si>
  <si>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</si>
  <si>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</si>
  <si>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</si>
  <si>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</si>
  <si>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</si>
  <si>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</si>
  <si>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</si>
  <si>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</si>
  <si>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</si>
  <si>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</si>
  <si>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</si>
  <si>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</si>
  <si>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</si>
  <si>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</si>
  <si>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</si>
  <si>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</si>
  <si>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</si>
  <si>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</si>
  <si>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</si>
  <si>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</si>
  <si>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</si>
  <si>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</si>
  <si>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</si>
  <si>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</si>
  <si>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</si>
  <si>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</si>
  <si>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</si>
  <si>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</si>
  <si>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</si>
  <si>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</si>
  <si>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</si>
  <si>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</si>
  <si>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daily return</t>
  </si>
  <si>
    <t>var =</t>
  </si>
  <si>
    <t>Daily Volatility  =</t>
  </si>
  <si>
    <t xml:space="preserve">portfolio money = </t>
  </si>
  <si>
    <t xml:space="preserve">Var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</si>
</sst>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tabSelected="1" workbookViewId="0">
      <selection activeCell="D13" sqref="D13"/>
    </sheetView>
  </sheetViews>
  <sheetFormatPr defaultRowHeight="14.4" x14ac:dyDescent="0.3"/>
  <cols>
    <col min="1" max="1" width="14.5546875" customWidth="1"/>
    <col min="2" max="2" width="17.109375" customWidth="1"/>
    <col min="3" max="3" width="32.5546875" customWidth="1"/>
    <col min="5" max="5" width="16.77734375" customWidth="1"/>
    <col min="6" max="6" width="15.88671875" customWidth="1"/>
  </cols>
  <sheetData>
    <row r="1" spans="1:6" x14ac:dyDescent="0.3">
      <c r="A1" s="1" t="s">
        <v>0</v>
      </c>
      <c r="B1" s="1" t="s">
        <v>1</v>
      </c>
      <c r="C1" s="1" t="s">
        <v>194</v>
      </c>
      <c r="E1" s="1" t="s">
        <v>196</v>
      </c>
      <c r="F1" s="3">
        <f>_xlfn.STDEV.P(C2:C324)</f>
        <v>1.9423527579580848E-2</v>
      </c>
    </row>
    <row r="2" spans="1:6" x14ac:dyDescent="0.3">
      <c r="A2" s="1" t="s">
        <v>2</v>
      </c>
      <c r="B2" s="1">
        <v>271.04000000000002</v>
      </c>
      <c r="C2" s="1">
        <f>(B2-B3)/B3</f>
        <v>2.9005315110098875E-2</v>
      </c>
    </row>
    <row r="3" spans="1:6" x14ac:dyDescent="0.3">
      <c r="A3" s="1" t="s">
        <v>3</v>
      </c>
      <c r="B3" s="1">
        <v>263.39999999999998</v>
      </c>
      <c r="C3" s="1">
        <f t="shared" ref="C3:C66" si="0">(B3-B4)/B4</f>
        <v>-1.1372593176444205E-2</v>
      </c>
    </row>
    <row r="4" spans="1:6" x14ac:dyDescent="0.3">
      <c r="A4" s="1" t="s">
        <v>4</v>
      </c>
      <c r="B4" s="1">
        <v>266.43</v>
      </c>
      <c r="C4" s="1">
        <f t="shared" si="0"/>
        <v>2.9362902291079178E-2</v>
      </c>
    </row>
    <row r="5" spans="1:6" x14ac:dyDescent="0.3">
      <c r="A5" s="1" t="s">
        <v>5</v>
      </c>
      <c r="B5" s="1">
        <v>258.83</v>
      </c>
      <c r="C5" s="1">
        <f t="shared" si="0"/>
        <v>-1.4274691358024867E-3</v>
      </c>
    </row>
    <row r="6" spans="1:6" x14ac:dyDescent="0.3">
      <c r="A6" s="1" t="s">
        <v>6</v>
      </c>
      <c r="B6" s="1">
        <v>259.2</v>
      </c>
      <c r="C6" s="1">
        <f t="shared" si="0"/>
        <v>-4.9140049140050275E-3</v>
      </c>
      <c r="E6" s="3" t="s">
        <v>195</v>
      </c>
      <c r="F6" s="4">
        <f>F1*1.65</f>
        <v>3.2048820506308397E-2</v>
      </c>
    </row>
    <row r="7" spans="1:6" x14ac:dyDescent="0.3">
      <c r="A7" s="2">
        <v>46299</v>
      </c>
      <c r="B7" s="1">
        <v>260.48</v>
      </c>
      <c r="C7" s="1">
        <f t="shared" si="0"/>
        <v>-3.838918960417254E-5</v>
      </c>
    </row>
    <row r="8" spans="1:6" x14ac:dyDescent="0.3">
      <c r="A8" s="2">
        <v>46269</v>
      </c>
      <c r="B8" s="1">
        <v>260.49</v>
      </c>
      <c r="C8" s="1">
        <f t="shared" si="0"/>
        <v>6.1413673232909695E-3</v>
      </c>
    </row>
    <row r="9" spans="1:6" x14ac:dyDescent="0.3">
      <c r="A9" s="2">
        <v>46238</v>
      </c>
      <c r="B9" s="1">
        <v>258.89999999999998</v>
      </c>
      <c r="C9" s="1">
        <f t="shared" si="0"/>
        <v>2.1301775147928904E-2</v>
      </c>
      <c r="E9" t="s">
        <v>197</v>
      </c>
      <c r="F9">
        <v>10000</v>
      </c>
    </row>
    <row r="10" spans="1:6" x14ac:dyDescent="0.3">
      <c r="A10" s="2">
        <v>46207</v>
      </c>
      <c r="B10" s="1">
        <v>253.5</v>
      </c>
      <c r="C10" s="1">
        <f t="shared" si="0"/>
        <v>-2.0706173221046176E-2</v>
      </c>
    </row>
    <row r="11" spans="1:6" x14ac:dyDescent="0.3">
      <c r="A11" s="2">
        <v>46177</v>
      </c>
      <c r="B11" s="1">
        <v>258.86</v>
      </c>
      <c r="C11" s="1">
        <f t="shared" si="0"/>
        <v>1.1487964989059183E-2</v>
      </c>
      <c r="E11" t="s">
        <v>198</v>
      </c>
      <c r="F11">
        <f xml:space="preserve"> F6*F9</f>
        <v>320.48820506308397</v>
      </c>
    </row>
    <row r="12" spans="1:6" x14ac:dyDescent="0.3">
      <c r="A12" s="2">
        <v>46057</v>
      </c>
      <c r="B12" s="1">
        <v>255.92</v>
      </c>
      <c r="C12" s="1">
        <f t="shared" si="0"/>
        <v>1.1344521378554631E-3</v>
      </c>
    </row>
    <row r="13" spans="1:6" x14ac:dyDescent="0.3">
      <c r="A13" s="2">
        <v>46026</v>
      </c>
      <c r="B13" s="1">
        <v>255.63</v>
      </c>
      <c r="C13" s="1">
        <f t="shared" si="0"/>
        <v>7.2500886559754268E-3</v>
      </c>
    </row>
    <row r="14" spans="1:6" x14ac:dyDescent="0.3">
      <c r="A14" s="1" t="s">
        <v>7</v>
      </c>
      <c r="B14" s="1">
        <v>253.79</v>
      </c>
      <c r="C14" s="1">
        <f t="shared" si="0"/>
        <v>2.9031342496857626E-2</v>
      </c>
    </row>
    <row r="15" spans="1:6" x14ac:dyDescent="0.3">
      <c r="A15" s="1" t="s">
        <v>8</v>
      </c>
      <c r="B15" s="1">
        <v>246.63</v>
      </c>
      <c r="C15" s="1">
        <f t="shared" si="0"/>
        <v>-8.7218649517685522E-3</v>
      </c>
    </row>
    <row r="16" spans="1:6" x14ac:dyDescent="0.3">
      <c r="A16" s="1" t="s">
        <v>9</v>
      </c>
      <c r="B16" s="1">
        <v>248.8</v>
      </c>
      <c r="C16" s="1">
        <f t="shared" si="0"/>
        <v>-1.6173039661512813E-2</v>
      </c>
    </row>
    <row r="17" spans="1:3" x14ac:dyDescent="0.3">
      <c r="A17" s="1" t="s">
        <v>10</v>
      </c>
      <c r="B17" s="1">
        <v>252.89</v>
      </c>
      <c r="C17" s="1">
        <f t="shared" si="0"/>
        <v>1.0687989866201481E-3</v>
      </c>
    </row>
    <row r="18" spans="1:3" x14ac:dyDescent="0.3">
      <c r="A18" s="1" t="s">
        <v>11</v>
      </c>
      <c r="B18" s="1">
        <v>252.62</v>
      </c>
      <c r="C18" s="1">
        <f t="shared" si="0"/>
        <v>3.8944523923065419E-3</v>
      </c>
    </row>
    <row r="19" spans="1:3" x14ac:dyDescent="0.3">
      <c r="A19" s="1" t="s">
        <v>12</v>
      </c>
      <c r="B19" s="1">
        <v>251.64</v>
      </c>
      <c r="C19" s="1">
        <f t="shared" si="0"/>
        <v>5.9644518668725303E-4</v>
      </c>
    </row>
    <row r="20" spans="1:3" x14ac:dyDescent="0.3">
      <c r="A20" s="1" t="s">
        <v>13</v>
      </c>
      <c r="B20" s="1">
        <v>251.49</v>
      </c>
      <c r="C20" s="1">
        <f t="shared" si="0"/>
        <v>1.4113472317432154E-2</v>
      </c>
    </row>
    <row r="21" spans="1:3" x14ac:dyDescent="0.3">
      <c r="A21" s="1" t="s">
        <v>14</v>
      </c>
      <c r="B21" s="1">
        <v>247.99</v>
      </c>
      <c r="C21" s="1">
        <f t="shared" si="0"/>
        <v>-3.8962082262210748E-3</v>
      </c>
    </row>
    <row r="22" spans="1:3" x14ac:dyDescent="0.3">
      <c r="A22" s="1" t="s">
        <v>15</v>
      </c>
      <c r="B22" s="1">
        <v>248.96</v>
      </c>
      <c r="C22" s="1">
        <f t="shared" si="0"/>
        <v>-3.9209410258461619E-3</v>
      </c>
    </row>
    <row r="23" spans="1:3" x14ac:dyDescent="0.3">
      <c r="A23" s="1" t="s">
        <v>16</v>
      </c>
      <c r="B23" s="1">
        <v>249.94</v>
      </c>
      <c r="C23" s="1">
        <f t="shared" si="0"/>
        <v>-1.6874483735200379E-2</v>
      </c>
    </row>
    <row r="24" spans="1:3" x14ac:dyDescent="0.3">
      <c r="A24" s="1" t="s">
        <v>17</v>
      </c>
      <c r="B24" s="1">
        <v>254.23</v>
      </c>
      <c r="C24" s="1">
        <f t="shared" si="0"/>
        <v>5.577090420061691E-3</v>
      </c>
    </row>
    <row r="25" spans="1:3" x14ac:dyDescent="0.3">
      <c r="A25" s="1" t="s">
        <v>18</v>
      </c>
      <c r="B25" s="1">
        <v>252.82</v>
      </c>
      <c r="C25" s="1">
        <f t="shared" si="0"/>
        <v>1.0794818487126134E-2</v>
      </c>
    </row>
    <row r="26" spans="1:3" x14ac:dyDescent="0.3">
      <c r="A26" s="1" t="s">
        <v>19</v>
      </c>
      <c r="B26" s="1">
        <v>250.12</v>
      </c>
      <c r="C26" s="1">
        <f t="shared" si="0"/>
        <v>-2.2051923678448493E-2</v>
      </c>
    </row>
    <row r="27" spans="1:3" x14ac:dyDescent="0.3">
      <c r="A27" s="2">
        <v>46359</v>
      </c>
      <c r="B27" s="1">
        <v>255.76</v>
      </c>
      <c r="C27" s="1">
        <f t="shared" si="0"/>
        <v>-1.9362754495609875E-2</v>
      </c>
    </row>
    <row r="28" spans="1:3" x14ac:dyDescent="0.3">
      <c r="A28" s="2">
        <v>46329</v>
      </c>
      <c r="B28" s="1">
        <v>260.81</v>
      </c>
      <c r="C28" s="1">
        <f t="shared" si="0"/>
        <v>-7.6678296208188525E-5</v>
      </c>
    </row>
    <row r="29" spans="1:3" x14ac:dyDescent="0.3">
      <c r="A29" s="2">
        <v>46298</v>
      </c>
      <c r="B29" s="1">
        <v>260.83</v>
      </c>
      <c r="C29" s="1">
        <f t="shared" si="0"/>
        <v>3.6555333230721436E-3</v>
      </c>
    </row>
    <row r="30" spans="1:3" x14ac:dyDescent="0.3">
      <c r="A30" s="2">
        <v>46268</v>
      </c>
      <c r="B30" s="1">
        <v>259.88</v>
      </c>
      <c r="C30" s="1">
        <f t="shared" si="0"/>
        <v>9.3995183717859709E-3</v>
      </c>
    </row>
    <row r="31" spans="1:3" x14ac:dyDescent="0.3">
      <c r="A31" s="2">
        <v>46176</v>
      </c>
      <c r="B31" s="1">
        <v>257.45999999999998</v>
      </c>
      <c r="C31" s="1">
        <f t="shared" si="0"/>
        <v>-1.0872488378347384E-2</v>
      </c>
    </row>
    <row r="32" spans="1:3" x14ac:dyDescent="0.3">
      <c r="A32" s="2">
        <v>46145</v>
      </c>
      <c r="B32" s="1">
        <v>260.29000000000002</v>
      </c>
      <c r="C32" s="1">
        <f t="shared" si="0"/>
        <v>-8.4945908883131242E-3</v>
      </c>
    </row>
    <row r="33" spans="1:3" x14ac:dyDescent="0.3">
      <c r="A33" s="2">
        <v>46115</v>
      </c>
      <c r="B33" s="1">
        <v>262.52</v>
      </c>
      <c r="C33" s="1">
        <f t="shared" si="0"/>
        <v>-4.6635071090048085E-3</v>
      </c>
    </row>
    <row r="34" spans="1:3" x14ac:dyDescent="0.3">
      <c r="A34" s="2">
        <v>46084</v>
      </c>
      <c r="B34" s="1">
        <v>263.75</v>
      </c>
      <c r="C34" s="1">
        <f t="shared" si="0"/>
        <v>-3.6642490178302629E-3</v>
      </c>
    </row>
    <row r="35" spans="1:3" x14ac:dyDescent="0.3">
      <c r="A35" s="2">
        <v>46056</v>
      </c>
      <c r="B35" s="1">
        <v>264.72000000000003</v>
      </c>
      <c r="C35" s="1">
        <f t="shared" si="0"/>
        <v>2.0440608675903566E-3</v>
      </c>
    </row>
    <row r="36" spans="1:3" x14ac:dyDescent="0.3">
      <c r="A36" s="1" t="s">
        <v>20</v>
      </c>
      <c r="B36" s="1">
        <v>264.18</v>
      </c>
      <c r="C36" s="1">
        <f t="shared" si="0"/>
        <v>-3.2130426818098488E-2</v>
      </c>
    </row>
    <row r="37" spans="1:3" x14ac:dyDescent="0.3">
      <c r="A37" s="1" t="s">
        <v>21</v>
      </c>
      <c r="B37" s="1">
        <v>272.95</v>
      </c>
      <c r="C37" s="1">
        <f t="shared" si="0"/>
        <v>-4.6676147759181323E-3</v>
      </c>
    </row>
    <row r="38" spans="1:3" x14ac:dyDescent="0.3">
      <c r="A38" s="1" t="s">
        <v>22</v>
      </c>
      <c r="B38" s="1">
        <v>274.23</v>
      </c>
      <c r="C38" s="1">
        <f t="shared" si="0"/>
        <v>7.679870654810142E-3</v>
      </c>
    </row>
    <row r="39" spans="1:3" x14ac:dyDescent="0.3">
      <c r="A39" s="1" t="s">
        <v>23</v>
      </c>
      <c r="B39" s="1">
        <v>272.14</v>
      </c>
      <c r="C39" s="1">
        <f t="shared" si="0"/>
        <v>2.2390863325569086E-2</v>
      </c>
    </row>
    <row r="40" spans="1:3" x14ac:dyDescent="0.3">
      <c r="A40" s="1" t="s">
        <v>24</v>
      </c>
      <c r="B40" s="1">
        <v>266.18</v>
      </c>
      <c r="C40" s="1">
        <f t="shared" si="0"/>
        <v>6.0473202812004797E-3</v>
      </c>
    </row>
    <row r="41" spans="1:3" x14ac:dyDescent="0.3">
      <c r="A41" s="1" t="s">
        <v>25</v>
      </c>
      <c r="B41" s="1">
        <v>264.58</v>
      </c>
      <c r="C41" s="1">
        <f t="shared" si="0"/>
        <v>1.5350372246526979E-2</v>
      </c>
    </row>
    <row r="42" spans="1:3" x14ac:dyDescent="0.3">
      <c r="A42" s="1" t="s">
        <v>26</v>
      </c>
      <c r="B42" s="1">
        <v>260.58</v>
      </c>
      <c r="C42" s="1">
        <f t="shared" si="0"/>
        <v>-1.426139587667879E-2</v>
      </c>
    </row>
    <row r="43" spans="1:3" x14ac:dyDescent="0.3">
      <c r="A43" s="1" t="s">
        <v>27</v>
      </c>
      <c r="B43" s="1">
        <v>264.35000000000002</v>
      </c>
      <c r="C43" s="1">
        <f t="shared" si="0"/>
        <v>1.7811126269517482E-3</v>
      </c>
    </row>
    <row r="44" spans="1:3" x14ac:dyDescent="0.3">
      <c r="A44" s="1" t="s">
        <v>28</v>
      </c>
      <c r="B44" s="1">
        <v>263.88</v>
      </c>
      <c r="C44" s="1">
        <f t="shared" si="0"/>
        <v>3.1667839549612928E-2</v>
      </c>
    </row>
    <row r="45" spans="1:3" x14ac:dyDescent="0.3">
      <c r="A45" s="1" t="s">
        <v>29</v>
      </c>
      <c r="B45" s="1">
        <v>255.78</v>
      </c>
      <c r="C45" s="1">
        <f t="shared" si="0"/>
        <v>-2.2733351163412741E-2</v>
      </c>
    </row>
    <row r="46" spans="1:3" x14ac:dyDescent="0.3">
      <c r="A46" s="2">
        <v>46358</v>
      </c>
      <c r="B46" s="1">
        <v>261.73</v>
      </c>
      <c r="C46" s="1">
        <f t="shared" si="0"/>
        <v>-4.9981851179673256E-2</v>
      </c>
    </row>
    <row r="47" spans="1:3" x14ac:dyDescent="0.3">
      <c r="A47" s="2">
        <v>46328</v>
      </c>
      <c r="B47" s="1">
        <v>275.5</v>
      </c>
      <c r="C47" s="1">
        <f t="shared" si="0"/>
        <v>6.6501023092662712E-3</v>
      </c>
    </row>
    <row r="48" spans="1:3" x14ac:dyDescent="0.3">
      <c r="A48" s="2">
        <v>46297</v>
      </c>
      <c r="B48" s="1">
        <v>273.68</v>
      </c>
      <c r="C48" s="1">
        <f t="shared" si="0"/>
        <v>-3.4229116597480069E-3</v>
      </c>
    </row>
    <row r="49" spans="1:3" x14ac:dyDescent="0.3">
      <c r="A49" s="2">
        <v>46267</v>
      </c>
      <c r="B49" s="1">
        <v>274.62</v>
      </c>
      <c r="C49" s="1">
        <f t="shared" si="0"/>
        <v>-1.2584495901049906E-2</v>
      </c>
    </row>
    <row r="50" spans="1:3" x14ac:dyDescent="0.3">
      <c r="A50" s="2">
        <v>46175</v>
      </c>
      <c r="B50" s="1">
        <v>278.12</v>
      </c>
      <c r="C50" s="1">
        <f t="shared" si="0"/>
        <v>8.0098582871225375E-3</v>
      </c>
    </row>
    <row r="51" spans="1:3" x14ac:dyDescent="0.3">
      <c r="A51" s="2">
        <v>46144</v>
      </c>
      <c r="B51" s="1">
        <v>275.91000000000003</v>
      </c>
      <c r="C51" s="1">
        <f t="shared" si="0"/>
        <v>-2.0977250533472606E-3</v>
      </c>
    </row>
    <row r="52" spans="1:3" x14ac:dyDescent="0.3">
      <c r="A52" s="2">
        <v>46114</v>
      </c>
      <c r="B52" s="1">
        <v>276.49</v>
      </c>
      <c r="C52" s="1">
        <f t="shared" si="0"/>
        <v>2.6013062193854797E-2</v>
      </c>
    </row>
    <row r="53" spans="1:3" x14ac:dyDescent="0.3">
      <c r="A53" s="2">
        <v>46083</v>
      </c>
      <c r="B53" s="1">
        <v>269.48</v>
      </c>
      <c r="C53" s="1">
        <f t="shared" si="0"/>
        <v>-1.9628902633234795E-3</v>
      </c>
    </row>
    <row r="54" spans="1:3" x14ac:dyDescent="0.3">
      <c r="A54" s="2">
        <v>46055</v>
      </c>
      <c r="B54" s="1">
        <v>270.01</v>
      </c>
      <c r="C54" s="1">
        <f t="shared" si="0"/>
        <v>4.0581162324649193E-2</v>
      </c>
    </row>
    <row r="55" spans="1:3" x14ac:dyDescent="0.3">
      <c r="A55" s="1" t="s">
        <v>30</v>
      </c>
      <c r="B55" s="1">
        <v>259.48</v>
      </c>
      <c r="C55" s="1">
        <f t="shared" si="0"/>
        <v>4.6461204893915344E-3</v>
      </c>
    </row>
    <row r="56" spans="1:3" x14ac:dyDescent="0.3">
      <c r="A56" s="1" t="s">
        <v>31</v>
      </c>
      <c r="B56" s="1">
        <v>258.27999999999997</v>
      </c>
      <c r="C56" s="1">
        <f t="shared" si="0"/>
        <v>7.1751676805489589E-3</v>
      </c>
    </row>
    <row r="57" spans="1:3" x14ac:dyDescent="0.3">
      <c r="A57" s="1" t="s">
        <v>32</v>
      </c>
      <c r="B57" s="1">
        <v>256.44</v>
      </c>
      <c r="C57" s="1">
        <f t="shared" si="0"/>
        <v>-7.0856080845626062E-3</v>
      </c>
    </row>
    <row r="58" spans="1:3" x14ac:dyDescent="0.3">
      <c r="A58" s="1" t="s">
        <v>33</v>
      </c>
      <c r="B58" s="1">
        <v>258.27</v>
      </c>
      <c r="C58" s="1">
        <f t="shared" si="0"/>
        <v>1.1197682158098686E-2</v>
      </c>
    </row>
    <row r="59" spans="1:3" x14ac:dyDescent="0.3">
      <c r="A59" s="1" t="s">
        <v>34</v>
      </c>
      <c r="B59" s="1">
        <v>255.41</v>
      </c>
      <c r="C59" s="1">
        <f t="shared" si="0"/>
        <v>2.97129495242703E-2</v>
      </c>
    </row>
    <row r="60" spans="1:3" x14ac:dyDescent="0.3">
      <c r="A60" s="1" t="s">
        <v>35</v>
      </c>
      <c r="B60" s="1">
        <v>248.04</v>
      </c>
      <c r="C60" s="1">
        <f t="shared" si="0"/>
        <v>-1.2482383732635486E-3</v>
      </c>
    </row>
    <row r="61" spans="1:3" x14ac:dyDescent="0.3">
      <c r="A61" s="1" t="s">
        <v>36</v>
      </c>
      <c r="B61" s="1">
        <v>248.35</v>
      </c>
      <c r="C61" s="1">
        <f t="shared" si="0"/>
        <v>2.826569755703568E-3</v>
      </c>
    </row>
    <row r="62" spans="1:3" x14ac:dyDescent="0.3">
      <c r="A62" s="1" t="s">
        <v>37</v>
      </c>
      <c r="B62" s="1">
        <v>247.65</v>
      </c>
      <c r="C62" s="1">
        <f t="shared" si="0"/>
        <v>3.850830968788071E-3</v>
      </c>
    </row>
    <row r="63" spans="1:3" x14ac:dyDescent="0.3">
      <c r="A63" s="1" t="s">
        <v>38</v>
      </c>
      <c r="B63" s="1">
        <v>246.7</v>
      </c>
      <c r="C63" s="1">
        <f t="shared" si="0"/>
        <v>-3.4555629475991126E-2</v>
      </c>
    </row>
    <row r="64" spans="1:3" x14ac:dyDescent="0.3">
      <c r="A64" s="1" t="s">
        <v>39</v>
      </c>
      <c r="B64" s="1">
        <v>255.53</v>
      </c>
      <c r="C64" s="1">
        <f t="shared" si="0"/>
        <v>-1.0379148754889348E-2</v>
      </c>
    </row>
    <row r="65" spans="1:3" x14ac:dyDescent="0.3">
      <c r="A65" s="1" t="s">
        <v>40</v>
      </c>
      <c r="B65" s="1">
        <v>258.20999999999998</v>
      </c>
      <c r="C65" s="1">
        <f t="shared" si="0"/>
        <v>-6.7318048930604711E-3</v>
      </c>
    </row>
    <row r="66" spans="1:3" x14ac:dyDescent="0.3">
      <c r="A66" s="1" t="s">
        <v>41</v>
      </c>
      <c r="B66" s="1">
        <v>259.95999999999998</v>
      </c>
      <c r="C66" s="1">
        <f t="shared" si="0"/>
        <v>-4.1754453169892047E-3</v>
      </c>
    </row>
    <row r="67" spans="1:3" x14ac:dyDescent="0.3">
      <c r="A67" s="1" t="s">
        <v>42</v>
      </c>
      <c r="B67" s="1">
        <v>261.05</v>
      </c>
      <c r="C67" s="1">
        <f t="shared" ref="C67:C130" si="1">(B67-B68)/B68</f>
        <v>3.0739673390970659E-3</v>
      </c>
    </row>
    <row r="68" spans="1:3" x14ac:dyDescent="0.3">
      <c r="A68" s="2">
        <v>46357</v>
      </c>
      <c r="B68" s="1">
        <v>260.25</v>
      </c>
      <c r="C68" s="1">
        <f t="shared" si="1"/>
        <v>3.3928364884142168E-3</v>
      </c>
    </row>
    <row r="69" spans="1:3" x14ac:dyDescent="0.3">
      <c r="A69" s="2">
        <v>46266</v>
      </c>
      <c r="B69" s="1">
        <v>259.37</v>
      </c>
      <c r="C69" s="1">
        <f t="shared" si="1"/>
        <v>1.273934527486041E-3</v>
      </c>
    </row>
    <row r="70" spans="1:3" x14ac:dyDescent="0.3">
      <c r="A70" s="2">
        <v>46235</v>
      </c>
      <c r="B70" s="1">
        <v>259.04000000000002</v>
      </c>
      <c r="C70" s="1">
        <f t="shared" si="1"/>
        <v>-4.9552491069026379E-3</v>
      </c>
    </row>
    <row r="71" spans="1:3" x14ac:dyDescent="0.3">
      <c r="A71" s="2">
        <v>46204</v>
      </c>
      <c r="B71" s="1">
        <v>260.33</v>
      </c>
      <c r="C71" s="1">
        <f t="shared" si="1"/>
        <v>-7.7374599786553949E-3</v>
      </c>
    </row>
    <row r="72" spans="1:3" x14ac:dyDescent="0.3">
      <c r="A72" s="2">
        <v>46174</v>
      </c>
      <c r="B72" s="1">
        <v>262.36</v>
      </c>
      <c r="C72" s="1">
        <f t="shared" si="1"/>
        <v>-1.8334206390780428E-2</v>
      </c>
    </row>
    <row r="73" spans="1:3" x14ac:dyDescent="0.3">
      <c r="A73" s="2">
        <v>46143</v>
      </c>
      <c r="B73" s="1">
        <v>267.26</v>
      </c>
      <c r="C73" s="1">
        <f t="shared" si="1"/>
        <v>-1.3837127781262684E-2</v>
      </c>
    </row>
    <row r="74" spans="1:3" x14ac:dyDescent="0.3">
      <c r="A74" s="2">
        <v>46054</v>
      </c>
      <c r="B74" s="1">
        <v>271.01</v>
      </c>
      <c r="C74" s="1">
        <f t="shared" si="1"/>
        <v>-3.1266092841904757E-3</v>
      </c>
    </row>
    <row r="75" spans="1:3" x14ac:dyDescent="0.3">
      <c r="A75" s="1" t="s">
        <v>43</v>
      </c>
      <c r="B75" s="1">
        <v>271.86</v>
      </c>
      <c r="C75" s="1">
        <f t="shared" si="1"/>
        <v>-4.4675552951514959E-3</v>
      </c>
    </row>
    <row r="76" spans="1:3" x14ac:dyDescent="0.3">
      <c r="A76" s="1" t="s">
        <v>44</v>
      </c>
      <c r="B76" s="1">
        <v>273.08</v>
      </c>
      <c r="C76" s="1">
        <f t="shared" si="1"/>
        <v>-2.4839275277615679E-3</v>
      </c>
    </row>
    <row r="77" spans="1:3" x14ac:dyDescent="0.3">
      <c r="A77" s="1" t="s">
        <v>45</v>
      </c>
      <c r="B77" s="1">
        <v>273.76</v>
      </c>
      <c r="C77" s="1">
        <f t="shared" si="1"/>
        <v>1.3167520117045124E-3</v>
      </c>
    </row>
    <row r="78" spans="1:3" x14ac:dyDescent="0.3">
      <c r="A78" s="1" t="s">
        <v>46</v>
      </c>
      <c r="B78" s="1">
        <v>273.39999999999998</v>
      </c>
      <c r="C78" s="1">
        <f t="shared" si="1"/>
        <v>-1.4973887001936562E-3</v>
      </c>
    </row>
    <row r="79" spans="1:3" x14ac:dyDescent="0.3">
      <c r="A79" s="1" t="s">
        <v>47</v>
      </c>
      <c r="B79" s="1">
        <v>273.81</v>
      </c>
      <c r="C79" s="1">
        <f t="shared" si="1"/>
        <v>5.323836099280322E-3</v>
      </c>
    </row>
    <row r="80" spans="1:3" x14ac:dyDescent="0.3">
      <c r="A80" s="1" t="s">
        <v>48</v>
      </c>
      <c r="B80" s="1">
        <v>272.36</v>
      </c>
      <c r="C80" s="1">
        <f t="shared" si="1"/>
        <v>5.129719157102211E-3</v>
      </c>
    </row>
    <row r="81" spans="1:3" x14ac:dyDescent="0.3">
      <c r="A81" s="1" t="s">
        <v>49</v>
      </c>
      <c r="B81" s="1">
        <v>270.97000000000003</v>
      </c>
      <c r="C81" s="1">
        <f t="shared" si="1"/>
        <v>-9.8658968831073501E-3</v>
      </c>
    </row>
    <row r="82" spans="1:3" x14ac:dyDescent="0.3">
      <c r="A82" s="1" t="s">
        <v>50</v>
      </c>
      <c r="B82" s="1">
        <v>273.67</v>
      </c>
      <c r="C82" s="1">
        <f t="shared" si="1"/>
        <v>5.4373783019215187E-3</v>
      </c>
    </row>
    <row r="83" spans="1:3" x14ac:dyDescent="0.3">
      <c r="A83" s="1" t="s">
        <v>51</v>
      </c>
      <c r="B83" s="1">
        <v>272.19</v>
      </c>
      <c r="C83" s="1">
        <f t="shared" si="1"/>
        <v>1.287522071807029E-3</v>
      </c>
    </row>
    <row r="84" spans="1:3" x14ac:dyDescent="0.3">
      <c r="A84" s="1" t="s">
        <v>52</v>
      </c>
      <c r="B84" s="1">
        <v>271.83999999999997</v>
      </c>
      <c r="C84" s="1">
        <f t="shared" si="1"/>
        <v>-1.0087032518845048E-2</v>
      </c>
    </row>
    <row r="85" spans="1:3" x14ac:dyDescent="0.3">
      <c r="A85" s="1" t="s">
        <v>53</v>
      </c>
      <c r="B85" s="1">
        <v>274.61</v>
      </c>
      <c r="C85" s="1">
        <f t="shared" si="1"/>
        <v>1.8240852212615373E-3</v>
      </c>
    </row>
    <row r="86" spans="1:3" x14ac:dyDescent="0.3">
      <c r="A86" s="1" t="s">
        <v>54</v>
      </c>
      <c r="B86" s="1">
        <v>274.11</v>
      </c>
      <c r="C86" s="1">
        <f t="shared" si="1"/>
        <v>-1.498490728762383E-2</v>
      </c>
    </row>
    <row r="87" spans="1:3" x14ac:dyDescent="0.3">
      <c r="A87" s="2">
        <v>46003</v>
      </c>
      <c r="B87" s="1">
        <v>278.27999999999997</v>
      </c>
      <c r="C87" s="1">
        <f t="shared" si="1"/>
        <v>8.9918354134445929E-4</v>
      </c>
    </row>
    <row r="88" spans="1:3" x14ac:dyDescent="0.3">
      <c r="A88" s="2">
        <v>45973</v>
      </c>
      <c r="B88" s="1">
        <v>278.02999999999997</v>
      </c>
      <c r="C88" s="1">
        <f t="shared" si="1"/>
        <v>-2.6902934213358207E-3</v>
      </c>
    </row>
    <row r="89" spans="1:3" x14ac:dyDescent="0.3">
      <c r="A89" s="2">
        <v>45942</v>
      </c>
      <c r="B89" s="1">
        <v>278.77999999999997</v>
      </c>
      <c r="C89" s="1">
        <f t="shared" si="1"/>
        <v>5.7724222526876609E-3</v>
      </c>
    </row>
    <row r="90" spans="1:3" x14ac:dyDescent="0.3">
      <c r="A90" s="2">
        <v>45912</v>
      </c>
      <c r="B90" s="1">
        <v>277.18</v>
      </c>
      <c r="C90" s="1">
        <f t="shared" si="1"/>
        <v>-2.5549677930115497E-3</v>
      </c>
    </row>
    <row r="91" spans="1:3" x14ac:dyDescent="0.3">
      <c r="A91" s="2">
        <v>45881</v>
      </c>
      <c r="B91" s="1">
        <v>277.89</v>
      </c>
      <c r="C91" s="1">
        <f t="shared" si="1"/>
        <v>-3.1924815266517917E-3</v>
      </c>
    </row>
    <row r="92" spans="1:3" x14ac:dyDescent="0.3">
      <c r="A92" s="2">
        <v>45789</v>
      </c>
      <c r="B92" s="1">
        <v>278.77999999999997</v>
      </c>
      <c r="C92" s="1">
        <f t="shared" si="1"/>
        <v>-6.8400427502672461E-3</v>
      </c>
    </row>
    <row r="93" spans="1:3" x14ac:dyDescent="0.3">
      <c r="A93" s="2">
        <v>45759</v>
      </c>
      <c r="B93" s="1">
        <v>280.7</v>
      </c>
      <c r="C93" s="1">
        <f t="shared" si="1"/>
        <v>-1.2141474573288716E-2</v>
      </c>
    </row>
    <row r="94" spans="1:3" x14ac:dyDescent="0.3">
      <c r="A94" s="2">
        <v>45728</v>
      </c>
      <c r="B94" s="1">
        <v>284.14999999999998</v>
      </c>
      <c r="C94" s="1">
        <f t="shared" si="1"/>
        <v>-7.1281316607848645E-3</v>
      </c>
    </row>
    <row r="95" spans="1:3" x14ac:dyDescent="0.3">
      <c r="A95" s="2">
        <v>45700</v>
      </c>
      <c r="B95" s="1">
        <v>286.19</v>
      </c>
      <c r="C95" s="1">
        <f t="shared" si="1"/>
        <v>1.0914871070293094E-2</v>
      </c>
    </row>
    <row r="96" spans="1:3" x14ac:dyDescent="0.3">
      <c r="A96" s="2">
        <v>45669</v>
      </c>
      <c r="B96" s="1">
        <v>283.10000000000002</v>
      </c>
      <c r="C96" s="1">
        <f t="shared" si="1"/>
        <v>1.5241169087322932E-2</v>
      </c>
    </row>
    <row r="97" spans="1:3" x14ac:dyDescent="0.3">
      <c r="A97" s="1" t="s">
        <v>55</v>
      </c>
      <c r="B97" s="1">
        <v>278.85000000000002</v>
      </c>
      <c r="C97" s="1">
        <f t="shared" si="1"/>
        <v>4.6838407494145607E-3</v>
      </c>
    </row>
    <row r="98" spans="1:3" x14ac:dyDescent="0.3">
      <c r="A98" s="1" t="s">
        <v>56</v>
      </c>
      <c r="B98" s="1">
        <v>277.55</v>
      </c>
      <c r="C98" s="1">
        <f t="shared" si="1"/>
        <v>2.094089612593364E-3</v>
      </c>
    </row>
    <row r="99" spans="1:3" x14ac:dyDescent="0.3">
      <c r="A99" s="1" t="s">
        <v>57</v>
      </c>
      <c r="B99" s="1">
        <v>276.97000000000003</v>
      </c>
      <c r="C99" s="1">
        <f t="shared" si="1"/>
        <v>3.8054508553204236E-3</v>
      </c>
    </row>
    <row r="100" spans="1:3" x14ac:dyDescent="0.3">
      <c r="A100" s="1" t="s">
        <v>58</v>
      </c>
      <c r="B100" s="1">
        <v>275.92</v>
      </c>
      <c r="C100" s="1">
        <f t="shared" si="1"/>
        <v>1.6317359755423796E-2</v>
      </c>
    </row>
    <row r="101" spans="1:3" x14ac:dyDescent="0.3">
      <c r="A101" s="1" t="s">
        <v>59</v>
      </c>
      <c r="B101" s="1">
        <v>271.49</v>
      </c>
      <c r="C101" s="1">
        <f t="shared" si="1"/>
        <v>1.9680751173708953E-2</v>
      </c>
    </row>
    <row r="102" spans="1:3" x14ac:dyDescent="0.3">
      <c r="A102" s="1" t="s">
        <v>60</v>
      </c>
      <c r="B102" s="1">
        <v>266.25</v>
      </c>
      <c r="C102" s="1">
        <f t="shared" si="1"/>
        <v>-8.6014298480786497E-3</v>
      </c>
    </row>
    <row r="103" spans="1:3" x14ac:dyDescent="0.3">
      <c r="A103" s="1" t="s">
        <v>61</v>
      </c>
      <c r="B103" s="1">
        <v>268.56</v>
      </c>
      <c r="C103" s="1">
        <f t="shared" si="1"/>
        <v>4.1878552198624163E-3</v>
      </c>
    </row>
    <row r="104" spans="1:3" x14ac:dyDescent="0.3">
      <c r="A104" s="1" t="s">
        <v>62</v>
      </c>
      <c r="B104" s="1">
        <v>267.44</v>
      </c>
      <c r="C104" s="1">
        <f t="shared" si="1"/>
        <v>-7.477753682786888E-5</v>
      </c>
    </row>
    <row r="105" spans="1:3" x14ac:dyDescent="0.3">
      <c r="A105" s="1" t="s">
        <v>63</v>
      </c>
      <c r="B105" s="1">
        <v>267.45999999999998</v>
      </c>
      <c r="C105" s="1">
        <f t="shared" si="1"/>
        <v>-1.8171139091810305E-2</v>
      </c>
    </row>
    <row r="106" spans="1:3" x14ac:dyDescent="0.3">
      <c r="A106" s="1" t="s">
        <v>64</v>
      </c>
      <c r="B106" s="1">
        <v>272.41000000000003</v>
      </c>
      <c r="C106" s="1">
        <f t="shared" si="1"/>
        <v>-1.9783843194722977E-3</v>
      </c>
    </row>
    <row r="107" spans="1:3" x14ac:dyDescent="0.3">
      <c r="A107" s="1" t="s">
        <v>65</v>
      </c>
      <c r="B107" s="1">
        <v>272.95</v>
      </c>
      <c r="C107" s="1">
        <f t="shared" si="1"/>
        <v>-1.9014882802502601E-3</v>
      </c>
    </row>
    <row r="108" spans="1:3" x14ac:dyDescent="0.3">
      <c r="A108" s="2">
        <v>46002</v>
      </c>
      <c r="B108" s="1">
        <v>273.47000000000003</v>
      </c>
      <c r="C108" s="1">
        <f t="shared" si="1"/>
        <v>-6.4668483197092563E-3</v>
      </c>
    </row>
    <row r="109" spans="1:3" x14ac:dyDescent="0.3">
      <c r="A109" s="2">
        <v>45972</v>
      </c>
      <c r="B109" s="1">
        <v>275.25</v>
      </c>
      <c r="C109" s="1">
        <f t="shared" si="1"/>
        <v>2.1601158000222668E-2</v>
      </c>
    </row>
    <row r="110" spans="1:3" x14ac:dyDescent="0.3">
      <c r="A110" s="2">
        <v>45941</v>
      </c>
      <c r="B110" s="1">
        <v>269.43</v>
      </c>
      <c r="C110" s="1">
        <f t="shared" si="1"/>
        <v>3.5758185272096676E-3</v>
      </c>
    </row>
    <row r="111" spans="1:3" x14ac:dyDescent="0.3">
      <c r="A111" s="2">
        <v>45849</v>
      </c>
      <c r="B111" s="1">
        <v>268.47000000000003</v>
      </c>
      <c r="C111" s="1">
        <f t="shared" si="1"/>
        <v>-4.8189198205877398E-3</v>
      </c>
    </row>
    <row r="112" spans="1:3" x14ac:dyDescent="0.3">
      <c r="A112" s="2">
        <v>45819</v>
      </c>
      <c r="B112" s="1">
        <v>269.77</v>
      </c>
      <c r="C112" s="1">
        <f t="shared" si="1"/>
        <v>-1.3696601762049477E-3</v>
      </c>
    </row>
    <row r="113" spans="1:3" x14ac:dyDescent="0.3">
      <c r="A113" s="2">
        <v>45788</v>
      </c>
      <c r="B113" s="1">
        <v>270.14</v>
      </c>
      <c r="C113" s="1">
        <f t="shared" si="1"/>
        <v>3.7031550881338278E-4</v>
      </c>
    </row>
    <row r="114" spans="1:3" x14ac:dyDescent="0.3">
      <c r="A114" s="2">
        <v>45758</v>
      </c>
      <c r="B114" s="1">
        <v>270.04000000000002</v>
      </c>
      <c r="C114" s="1">
        <f t="shared" si="1"/>
        <v>3.6796134547482217E-3</v>
      </c>
    </row>
    <row r="115" spans="1:3" x14ac:dyDescent="0.3">
      <c r="A115" s="2">
        <v>45727</v>
      </c>
      <c r="B115" s="1">
        <v>269.05</v>
      </c>
      <c r="C115" s="1">
        <f t="shared" si="1"/>
        <v>-4.8821984687650007E-3</v>
      </c>
    </row>
    <row r="116" spans="1:3" x14ac:dyDescent="0.3">
      <c r="A116" s="1" t="s">
        <v>66</v>
      </c>
      <c r="B116" s="1">
        <v>270.37</v>
      </c>
      <c r="C116" s="1">
        <f t="shared" si="1"/>
        <v>-3.7951363301399147E-3</v>
      </c>
    </row>
    <row r="117" spans="1:3" x14ac:dyDescent="0.3">
      <c r="A117" s="1" t="s">
        <v>67</v>
      </c>
      <c r="B117" s="1">
        <v>271.39999999999998</v>
      </c>
      <c r="C117" s="1">
        <f t="shared" si="1"/>
        <v>6.3032999629217233E-3</v>
      </c>
    </row>
    <row r="118" spans="1:3" x14ac:dyDescent="0.3">
      <c r="A118" s="1" t="s">
        <v>68</v>
      </c>
      <c r="B118" s="1">
        <v>269.7</v>
      </c>
      <c r="C118" s="1">
        <f t="shared" si="1"/>
        <v>2.6022304832713332E-3</v>
      </c>
    </row>
    <row r="119" spans="1:3" x14ac:dyDescent="0.3">
      <c r="A119" s="1" t="s">
        <v>69</v>
      </c>
      <c r="B119" s="1">
        <v>269</v>
      </c>
      <c r="C119" s="1">
        <f t="shared" si="1"/>
        <v>7.0681894274765718E-4</v>
      </c>
    </row>
    <row r="120" spans="1:3" x14ac:dyDescent="0.3">
      <c r="A120" s="1" t="s">
        <v>70</v>
      </c>
      <c r="B120" s="1">
        <v>268.81</v>
      </c>
      <c r="C120" s="1">
        <f t="shared" si="1"/>
        <v>2.2791263982954148E-2</v>
      </c>
    </row>
    <row r="121" spans="1:3" x14ac:dyDescent="0.3">
      <c r="A121" s="1" t="s">
        <v>71</v>
      </c>
      <c r="B121" s="1">
        <v>262.82</v>
      </c>
      <c r="C121" s="1">
        <f t="shared" si="1"/>
        <v>1.2481701209646388E-2</v>
      </c>
    </row>
    <row r="122" spans="1:3" x14ac:dyDescent="0.3">
      <c r="A122" s="1" t="s">
        <v>72</v>
      </c>
      <c r="B122" s="1">
        <v>259.58</v>
      </c>
      <c r="C122" s="1">
        <f t="shared" si="1"/>
        <v>4.3722189978719116E-3</v>
      </c>
    </row>
    <row r="123" spans="1:3" x14ac:dyDescent="0.3">
      <c r="A123" s="1" t="s">
        <v>73</v>
      </c>
      <c r="B123" s="1">
        <v>258.45</v>
      </c>
      <c r="C123" s="1">
        <f t="shared" si="1"/>
        <v>-1.6440232903299438E-2</v>
      </c>
    </row>
    <row r="124" spans="1:3" x14ac:dyDescent="0.3">
      <c r="A124" s="1" t="s">
        <v>74</v>
      </c>
      <c r="B124" s="1">
        <v>262.77</v>
      </c>
      <c r="C124" s="1">
        <f t="shared" si="1"/>
        <v>2.0210494203781754E-3</v>
      </c>
    </row>
    <row r="125" spans="1:3" x14ac:dyDescent="0.3">
      <c r="A125" s="1" t="s">
        <v>75</v>
      </c>
      <c r="B125" s="1">
        <v>262.24</v>
      </c>
      <c r="C125" s="1">
        <f t="shared" si="1"/>
        <v>3.943874113123793E-2</v>
      </c>
    </row>
    <row r="126" spans="1:3" x14ac:dyDescent="0.3">
      <c r="A126" s="1" t="s">
        <v>76</v>
      </c>
      <c r="B126" s="1">
        <v>252.29</v>
      </c>
      <c r="C126" s="1">
        <f t="shared" si="1"/>
        <v>1.9559506971105287E-2</v>
      </c>
    </row>
    <row r="127" spans="1:3" x14ac:dyDescent="0.3">
      <c r="A127" s="1" t="s">
        <v>77</v>
      </c>
      <c r="B127" s="1">
        <v>247.45</v>
      </c>
      <c r="C127" s="1">
        <f t="shared" si="1"/>
        <v>-7.5800112296463256E-3</v>
      </c>
    </row>
    <row r="128" spans="1:3" x14ac:dyDescent="0.3">
      <c r="A128" s="1" t="s">
        <v>78</v>
      </c>
      <c r="B128" s="1">
        <v>249.34</v>
      </c>
      <c r="C128" s="1">
        <f t="shared" si="1"/>
        <v>6.336521774226069E-3</v>
      </c>
    </row>
    <row r="129" spans="1:3" x14ac:dyDescent="0.3">
      <c r="A129" s="1" t="s">
        <v>79</v>
      </c>
      <c r="B129" s="1">
        <v>247.77</v>
      </c>
      <c r="C129" s="1">
        <f t="shared" si="1"/>
        <v>4.4415731244453545E-4</v>
      </c>
    </row>
    <row r="130" spans="1:3" x14ac:dyDescent="0.3">
      <c r="A130" s="1" t="s">
        <v>80</v>
      </c>
      <c r="B130" s="1">
        <v>247.66</v>
      </c>
      <c r="C130" s="1">
        <f t="shared" si="1"/>
        <v>9.7443633546703077E-3</v>
      </c>
    </row>
    <row r="131" spans="1:3" x14ac:dyDescent="0.3">
      <c r="A131" s="2">
        <v>45940</v>
      </c>
      <c r="B131" s="1">
        <v>245.27</v>
      </c>
      <c r="C131" s="1">
        <f t="shared" ref="C131:C194" si="2">(B131-B132)/B132</f>
        <v>-3.4522122500393569E-2</v>
      </c>
    </row>
    <row r="132" spans="1:3" x14ac:dyDescent="0.3">
      <c r="A132" s="2">
        <v>45910</v>
      </c>
      <c r="B132" s="1">
        <v>254.04</v>
      </c>
      <c r="C132" s="1">
        <f t="shared" si="2"/>
        <v>-1.5577772611020732E-2</v>
      </c>
    </row>
    <row r="133" spans="1:3" x14ac:dyDescent="0.3">
      <c r="A133" s="2">
        <v>45879</v>
      </c>
      <c r="B133" s="1">
        <v>258.06</v>
      </c>
      <c r="C133" s="1">
        <f t="shared" si="2"/>
        <v>6.1603243917653771E-3</v>
      </c>
    </row>
    <row r="134" spans="1:3" x14ac:dyDescent="0.3">
      <c r="A134" s="2">
        <v>45848</v>
      </c>
      <c r="B134" s="1">
        <v>256.48</v>
      </c>
      <c r="C134" s="1">
        <f t="shared" si="2"/>
        <v>-8.1810744477766781E-4</v>
      </c>
    </row>
    <row r="135" spans="1:3" x14ac:dyDescent="0.3">
      <c r="A135" s="2">
        <v>45818</v>
      </c>
      <c r="B135" s="1">
        <v>256.69</v>
      </c>
      <c r="C135" s="1">
        <f t="shared" si="2"/>
        <v>-5.1546391752576703E-3</v>
      </c>
    </row>
    <row r="136" spans="1:3" x14ac:dyDescent="0.3">
      <c r="A136" s="2">
        <v>45726</v>
      </c>
      <c r="B136" s="1">
        <v>258.02</v>
      </c>
      <c r="C136" s="1">
        <f t="shared" si="2"/>
        <v>3.461284175319824E-3</v>
      </c>
    </row>
    <row r="137" spans="1:3" x14ac:dyDescent="0.3">
      <c r="A137" s="2">
        <v>45698</v>
      </c>
      <c r="B137" s="1">
        <v>257.13</v>
      </c>
      <c r="C137" s="1">
        <f t="shared" si="2"/>
        <v>6.5766294773928636E-3</v>
      </c>
    </row>
    <row r="138" spans="1:3" x14ac:dyDescent="0.3">
      <c r="A138" s="2">
        <v>45667</v>
      </c>
      <c r="B138" s="1">
        <v>255.45</v>
      </c>
      <c r="C138" s="1">
        <f t="shared" si="2"/>
        <v>3.2203589522051337E-3</v>
      </c>
    </row>
    <row r="139" spans="1:3" x14ac:dyDescent="0.3">
      <c r="A139" s="1" t="s">
        <v>81</v>
      </c>
      <c r="B139" s="1">
        <v>254.63</v>
      </c>
      <c r="C139" s="1">
        <f t="shared" si="2"/>
        <v>7.8607082498128613E-4</v>
      </c>
    </row>
    <row r="140" spans="1:3" x14ac:dyDescent="0.3">
      <c r="A140" s="1" t="s">
        <v>82</v>
      </c>
      <c r="B140" s="1">
        <v>254.43</v>
      </c>
      <c r="C140" s="1">
        <f t="shared" si="2"/>
        <v>-4.0319423784545569E-3</v>
      </c>
    </row>
    <row r="141" spans="1:3" x14ac:dyDescent="0.3">
      <c r="A141" s="1" t="s">
        <v>83</v>
      </c>
      <c r="B141" s="1">
        <v>255.46</v>
      </c>
      <c r="C141" s="1">
        <f t="shared" si="2"/>
        <v>-5.4891579398139E-3</v>
      </c>
    </row>
    <row r="142" spans="1:3" x14ac:dyDescent="0.3">
      <c r="A142" s="1" t="s">
        <v>84</v>
      </c>
      <c r="B142" s="1">
        <v>256.87</v>
      </c>
      <c r="C142" s="1">
        <f t="shared" si="2"/>
        <v>1.8073005429828395E-2</v>
      </c>
    </row>
    <row r="143" spans="1:3" x14ac:dyDescent="0.3">
      <c r="A143" s="1" t="s">
        <v>85</v>
      </c>
      <c r="B143" s="1">
        <v>252.31</v>
      </c>
      <c r="C143" s="1">
        <f t="shared" si="2"/>
        <v>-8.332350744802125E-3</v>
      </c>
    </row>
    <row r="144" spans="1:3" x14ac:dyDescent="0.3">
      <c r="A144" s="1" t="s">
        <v>86</v>
      </c>
      <c r="B144" s="1">
        <v>254.43</v>
      </c>
      <c r="C144" s="1">
        <f t="shared" si="2"/>
        <v>-6.4432989690720761E-3</v>
      </c>
    </row>
    <row r="145" spans="1:3" x14ac:dyDescent="0.3">
      <c r="A145" s="1" t="s">
        <v>87</v>
      </c>
      <c r="B145" s="1">
        <v>256.08</v>
      </c>
      <c r="C145" s="1">
        <f t="shared" si="2"/>
        <v>4.3095723014256557E-2</v>
      </c>
    </row>
    <row r="146" spans="1:3" x14ac:dyDescent="0.3">
      <c r="A146" s="1" t="s">
        <v>88</v>
      </c>
      <c r="B146" s="1">
        <v>245.5</v>
      </c>
      <c r="C146" s="1">
        <f t="shared" si="2"/>
        <v>3.2032957793845657E-2</v>
      </c>
    </row>
    <row r="147" spans="1:3" x14ac:dyDescent="0.3">
      <c r="A147" s="1" t="s">
        <v>89</v>
      </c>
      <c r="B147" s="1">
        <v>237.88</v>
      </c>
      <c r="C147" s="1">
        <f t="shared" si="2"/>
        <v>-4.6445457968953248E-3</v>
      </c>
    </row>
    <row r="148" spans="1:3" x14ac:dyDescent="0.3">
      <c r="A148" s="1" t="s">
        <v>90</v>
      </c>
      <c r="B148" s="1">
        <v>238.99</v>
      </c>
      <c r="C148" s="1">
        <f t="shared" si="2"/>
        <v>3.5271887465882991E-3</v>
      </c>
    </row>
    <row r="149" spans="1:3" x14ac:dyDescent="0.3">
      <c r="A149" s="1" t="s">
        <v>91</v>
      </c>
      <c r="B149" s="1">
        <v>238.15</v>
      </c>
      <c r="C149" s="1">
        <f t="shared" si="2"/>
        <v>6.1258977608788217E-3</v>
      </c>
    </row>
    <row r="150" spans="1:3" x14ac:dyDescent="0.3">
      <c r="A150" s="1" t="s">
        <v>92</v>
      </c>
      <c r="B150" s="1">
        <v>236.7</v>
      </c>
      <c r="C150" s="1">
        <f t="shared" si="2"/>
        <v>1.1235955056179756E-2</v>
      </c>
    </row>
    <row r="151" spans="1:3" x14ac:dyDescent="0.3">
      <c r="A151" s="2">
        <v>46000</v>
      </c>
      <c r="B151" s="1">
        <v>234.07</v>
      </c>
      <c r="C151" s="1">
        <f t="shared" si="2"/>
        <v>1.7562926574794559E-2</v>
      </c>
    </row>
    <row r="152" spans="1:3" x14ac:dyDescent="0.3">
      <c r="A152" s="2">
        <v>45970</v>
      </c>
      <c r="B152" s="1">
        <v>230.03</v>
      </c>
      <c r="C152" s="1">
        <f t="shared" si="2"/>
        <v>1.4286344195070371E-2</v>
      </c>
    </row>
    <row r="153" spans="1:3" x14ac:dyDescent="0.3">
      <c r="A153" s="2">
        <v>45939</v>
      </c>
      <c r="B153" s="1">
        <v>226.79</v>
      </c>
      <c r="C153" s="1">
        <f t="shared" si="2"/>
        <v>-3.2259441007040764E-2</v>
      </c>
    </row>
    <row r="154" spans="1:3" x14ac:dyDescent="0.3">
      <c r="A154" s="2">
        <v>45909</v>
      </c>
      <c r="B154" s="1">
        <v>234.35</v>
      </c>
      <c r="C154" s="1">
        <f t="shared" si="2"/>
        <v>-1.4839414831007236E-2</v>
      </c>
    </row>
    <row r="155" spans="1:3" x14ac:dyDescent="0.3">
      <c r="A155" s="2">
        <v>45878</v>
      </c>
      <c r="B155" s="1">
        <v>237.88</v>
      </c>
      <c r="C155" s="1">
        <f t="shared" si="2"/>
        <v>-7.5514205849222006E-3</v>
      </c>
    </row>
    <row r="156" spans="1:3" x14ac:dyDescent="0.3">
      <c r="A156" s="2">
        <v>45786</v>
      </c>
      <c r="B156" s="1">
        <v>239.69</v>
      </c>
      <c r="C156" s="1">
        <f t="shared" si="2"/>
        <v>-3.7534406539329137E-4</v>
      </c>
    </row>
    <row r="157" spans="1:3" x14ac:dyDescent="0.3">
      <c r="A157" s="2">
        <v>45756</v>
      </c>
      <c r="B157" s="1">
        <v>239.78</v>
      </c>
      <c r="C157" s="1">
        <f t="shared" si="2"/>
        <v>5.4933534616513702E-3</v>
      </c>
    </row>
    <row r="158" spans="1:3" x14ac:dyDescent="0.3">
      <c r="A158" s="2">
        <v>45725</v>
      </c>
      <c r="B158" s="1">
        <v>238.47</v>
      </c>
      <c r="C158" s="1">
        <f t="shared" si="2"/>
        <v>3.8089848511231067E-2</v>
      </c>
    </row>
    <row r="159" spans="1:3" x14ac:dyDescent="0.3">
      <c r="A159" s="2">
        <v>45697</v>
      </c>
      <c r="B159" s="1">
        <v>229.72</v>
      </c>
      <c r="C159" s="1">
        <f t="shared" si="2"/>
        <v>-1.0424743689153044E-2</v>
      </c>
    </row>
    <row r="160" spans="1:3" x14ac:dyDescent="0.3">
      <c r="A160" s="1" t="s">
        <v>93</v>
      </c>
      <c r="B160" s="1">
        <v>232.14</v>
      </c>
      <c r="C160" s="1">
        <f t="shared" si="2"/>
        <v>-1.8059855521156516E-3</v>
      </c>
    </row>
    <row r="161" spans="1:3" x14ac:dyDescent="0.3">
      <c r="A161" s="1" t="s">
        <v>94</v>
      </c>
      <c r="B161" s="1">
        <v>232.56</v>
      </c>
      <c r="C161" s="1">
        <f t="shared" si="2"/>
        <v>8.9808668488871243E-3</v>
      </c>
    </row>
    <row r="162" spans="1:3" x14ac:dyDescent="0.3">
      <c r="A162" s="1" t="s">
        <v>95</v>
      </c>
      <c r="B162" s="1">
        <v>230.49</v>
      </c>
      <c r="C162" s="1">
        <f t="shared" si="2"/>
        <v>5.1458723998081494E-3</v>
      </c>
    </row>
    <row r="163" spans="1:3" x14ac:dyDescent="0.3">
      <c r="A163" s="1" t="s">
        <v>96</v>
      </c>
      <c r="B163" s="1">
        <v>229.31</v>
      </c>
      <c r="C163" s="1">
        <f t="shared" si="2"/>
        <v>9.4646944884663048E-3</v>
      </c>
    </row>
    <row r="164" spans="1:3" x14ac:dyDescent="0.3">
      <c r="A164" s="1" t="s">
        <v>97</v>
      </c>
      <c r="B164" s="1">
        <v>227.16</v>
      </c>
      <c r="C164" s="1">
        <f t="shared" si="2"/>
        <v>-2.6343519494204178E-3</v>
      </c>
    </row>
    <row r="165" spans="1:3" x14ac:dyDescent="0.3">
      <c r="A165" s="1" t="s">
        <v>98</v>
      </c>
      <c r="B165" s="1">
        <v>227.76</v>
      </c>
      <c r="C165" s="1">
        <f t="shared" si="2"/>
        <v>1.2716763005780281E-2</v>
      </c>
    </row>
    <row r="166" spans="1:3" x14ac:dyDescent="0.3">
      <c r="A166" s="1" t="s">
        <v>99</v>
      </c>
      <c r="B166" s="1">
        <v>224.9</v>
      </c>
      <c r="C166" s="1">
        <f t="shared" si="2"/>
        <v>-4.9112871111897053E-3</v>
      </c>
    </row>
    <row r="167" spans="1:3" x14ac:dyDescent="0.3">
      <c r="A167" s="1" t="s">
        <v>100</v>
      </c>
      <c r="B167" s="1">
        <v>226.01</v>
      </c>
      <c r="C167" s="1">
        <f t="shared" si="2"/>
        <v>-1.9734559333796024E-2</v>
      </c>
    </row>
    <row r="168" spans="1:3" x14ac:dyDescent="0.3">
      <c r="A168" s="1" t="s">
        <v>101</v>
      </c>
      <c r="B168" s="1">
        <v>230.56</v>
      </c>
      <c r="C168" s="1">
        <f t="shared" si="2"/>
        <v>-1.429252024773633E-3</v>
      </c>
    </row>
    <row r="169" spans="1:3" x14ac:dyDescent="0.3">
      <c r="A169" s="1" t="s">
        <v>102</v>
      </c>
      <c r="B169" s="1">
        <v>230.89</v>
      </c>
      <c r="C169" s="1">
        <f t="shared" si="2"/>
        <v>-3.02258301308354E-3</v>
      </c>
    </row>
    <row r="170" spans="1:3" x14ac:dyDescent="0.3">
      <c r="A170" s="1" t="s">
        <v>103</v>
      </c>
      <c r="B170" s="1">
        <v>231.59</v>
      </c>
      <c r="C170" s="1">
        <f t="shared" si="2"/>
        <v>-5.1121230346249579E-3</v>
      </c>
    </row>
    <row r="171" spans="1:3" x14ac:dyDescent="0.3">
      <c r="A171" s="1" t="s">
        <v>104</v>
      </c>
      <c r="B171" s="1">
        <v>232.78</v>
      </c>
      <c r="C171" s="1">
        <f t="shared" si="2"/>
        <v>-2.3571765310933497E-3</v>
      </c>
    </row>
    <row r="172" spans="1:3" x14ac:dyDescent="0.3">
      <c r="A172" s="1" t="s">
        <v>105</v>
      </c>
      <c r="B172" s="1">
        <v>233.33</v>
      </c>
      <c r="C172" s="1">
        <f t="shared" si="2"/>
        <v>1.6024384933594631E-2</v>
      </c>
    </row>
    <row r="173" spans="1:3" x14ac:dyDescent="0.3">
      <c r="A173" s="2">
        <v>45999</v>
      </c>
      <c r="B173" s="1">
        <v>229.65</v>
      </c>
      <c r="C173" s="1">
        <f t="shared" si="2"/>
        <v>1.0872435953869173E-2</v>
      </c>
    </row>
    <row r="174" spans="1:3" x14ac:dyDescent="0.3">
      <c r="A174" s="2">
        <v>45969</v>
      </c>
      <c r="B174" s="1">
        <v>227.18</v>
      </c>
      <c r="C174" s="1">
        <f t="shared" si="2"/>
        <v>-9.4615216917374647E-3</v>
      </c>
    </row>
    <row r="175" spans="1:3" x14ac:dyDescent="0.3">
      <c r="A175" s="2">
        <v>45877</v>
      </c>
      <c r="B175" s="1">
        <v>229.35</v>
      </c>
      <c r="C175" s="1">
        <f t="shared" si="2"/>
        <v>4.2357860291778363E-2</v>
      </c>
    </row>
    <row r="176" spans="1:3" x14ac:dyDescent="0.3">
      <c r="A176" s="2">
        <v>45846</v>
      </c>
      <c r="B176" s="1">
        <v>220.03</v>
      </c>
      <c r="C176" s="1">
        <f t="shared" si="2"/>
        <v>3.1793669402110203E-2</v>
      </c>
    </row>
    <row r="177" spans="1:3" x14ac:dyDescent="0.3">
      <c r="A177" s="2">
        <v>45816</v>
      </c>
      <c r="B177" s="1">
        <v>213.25</v>
      </c>
      <c r="C177" s="1">
        <f t="shared" si="2"/>
        <v>5.0906761285235629E-2</v>
      </c>
    </row>
    <row r="178" spans="1:3" x14ac:dyDescent="0.3">
      <c r="A178" s="2">
        <v>45785</v>
      </c>
      <c r="B178" s="1">
        <v>202.92</v>
      </c>
      <c r="C178" s="1">
        <f t="shared" si="2"/>
        <v>-2.114580772067897E-3</v>
      </c>
    </row>
    <row r="179" spans="1:3" x14ac:dyDescent="0.3">
      <c r="A179" s="2">
        <v>45755</v>
      </c>
      <c r="B179" s="1">
        <v>203.35</v>
      </c>
      <c r="C179" s="1">
        <f t="shared" si="2"/>
        <v>4.7929637315940257E-3</v>
      </c>
    </row>
    <row r="180" spans="1:3" x14ac:dyDescent="0.3">
      <c r="A180" s="2">
        <v>45665</v>
      </c>
      <c r="B180" s="1">
        <v>202.38</v>
      </c>
      <c r="C180" s="1">
        <f t="shared" si="2"/>
        <v>-2.5003613238907346E-2</v>
      </c>
    </row>
    <row r="181" spans="1:3" x14ac:dyDescent="0.3">
      <c r="A181" s="1" t="s">
        <v>106</v>
      </c>
      <c r="B181" s="1">
        <v>207.57</v>
      </c>
      <c r="C181" s="1">
        <f t="shared" si="2"/>
        <v>-7.0796460176992017E-3</v>
      </c>
    </row>
    <row r="182" spans="1:3" x14ac:dyDescent="0.3">
      <c r="A182" s="1" t="s">
        <v>107</v>
      </c>
      <c r="B182" s="1">
        <v>209.05</v>
      </c>
      <c r="C182" s="1">
        <f t="shared" si="2"/>
        <v>-1.0507880910683007E-2</v>
      </c>
    </row>
    <row r="183" spans="1:3" x14ac:dyDescent="0.3">
      <c r="A183" s="1" t="s">
        <v>108</v>
      </c>
      <c r="B183" s="1">
        <v>211.27</v>
      </c>
      <c r="C183" s="1">
        <f t="shared" si="2"/>
        <v>-1.298761971501986E-2</v>
      </c>
    </row>
    <row r="184" spans="1:3" x14ac:dyDescent="0.3">
      <c r="A184" s="1" t="s">
        <v>109</v>
      </c>
      <c r="B184" s="1">
        <v>214.05</v>
      </c>
      <c r="C184" s="1">
        <f t="shared" si="2"/>
        <v>7.9483822704327618E-4</v>
      </c>
    </row>
    <row r="185" spans="1:3" x14ac:dyDescent="0.3">
      <c r="A185" s="1" t="s">
        <v>110</v>
      </c>
      <c r="B185" s="1">
        <v>213.88</v>
      </c>
      <c r="C185" s="1">
        <f t="shared" si="2"/>
        <v>5.6137724550900337E-4</v>
      </c>
    </row>
    <row r="186" spans="1:3" x14ac:dyDescent="0.3">
      <c r="A186" s="1" t="s">
        <v>111</v>
      </c>
      <c r="B186" s="1">
        <v>213.76</v>
      </c>
      <c r="C186" s="1">
        <f t="shared" si="2"/>
        <v>-1.8211533971515983E-3</v>
      </c>
    </row>
    <row r="187" spans="1:3" x14ac:dyDescent="0.3">
      <c r="A187" s="1" t="s">
        <v>112</v>
      </c>
      <c r="B187" s="1">
        <v>214.15</v>
      </c>
      <c r="C187" s="1">
        <f t="shared" si="2"/>
        <v>-1.1660447761194029E-3</v>
      </c>
    </row>
    <row r="188" spans="1:3" x14ac:dyDescent="0.3">
      <c r="A188" s="1" t="s">
        <v>113</v>
      </c>
      <c r="B188" s="1">
        <v>214.4</v>
      </c>
      <c r="C188" s="1">
        <f t="shared" si="2"/>
        <v>9.0361445783133289E-3</v>
      </c>
    </row>
    <row r="189" spans="1:3" x14ac:dyDescent="0.3">
      <c r="A189" s="1" t="s">
        <v>114</v>
      </c>
      <c r="B189" s="1">
        <v>212.48</v>
      </c>
      <c r="C189" s="1">
        <f t="shared" si="2"/>
        <v>6.155885974050492E-3</v>
      </c>
    </row>
    <row r="190" spans="1:3" x14ac:dyDescent="0.3">
      <c r="A190" s="1" t="s">
        <v>115</v>
      </c>
      <c r="B190" s="1">
        <v>211.18</v>
      </c>
      <c r="C190" s="1">
        <f t="shared" si="2"/>
        <v>5.5232834968098115E-3</v>
      </c>
    </row>
    <row r="191" spans="1:3" x14ac:dyDescent="0.3">
      <c r="A191" s="1" t="s">
        <v>116</v>
      </c>
      <c r="B191" s="1">
        <v>210.02</v>
      </c>
      <c r="C191" s="1">
        <f t="shared" si="2"/>
        <v>-6.6615911686327735E-4</v>
      </c>
    </row>
    <row r="192" spans="1:3" x14ac:dyDescent="0.3">
      <c r="A192" s="1" t="s">
        <v>117</v>
      </c>
      <c r="B192" s="1">
        <v>210.16</v>
      </c>
      <c r="C192" s="1">
        <f t="shared" si="2"/>
        <v>5.0212806656782689E-3</v>
      </c>
    </row>
    <row r="193" spans="1:3" x14ac:dyDescent="0.3">
      <c r="A193" s="1" t="s">
        <v>118</v>
      </c>
      <c r="B193" s="1">
        <v>209.11</v>
      </c>
      <c r="C193" s="1">
        <f t="shared" si="2"/>
        <v>2.3487680951011845E-3</v>
      </c>
    </row>
    <row r="194" spans="1:3" x14ac:dyDescent="0.3">
      <c r="A194" s="1" t="s">
        <v>119</v>
      </c>
      <c r="B194" s="1">
        <v>208.62</v>
      </c>
      <c r="C194" s="1">
        <f t="shared" si="2"/>
        <v>-1.202879333207043E-2</v>
      </c>
    </row>
    <row r="195" spans="1:3" x14ac:dyDescent="0.3">
      <c r="A195" s="2">
        <v>45968</v>
      </c>
      <c r="B195" s="1">
        <v>211.16</v>
      </c>
      <c r="C195" s="1">
        <f t="shared" ref="C195:C258" si="3">(B195-B196)/B196</f>
        <v>-5.8848453462642999E-3</v>
      </c>
    </row>
    <row r="196" spans="1:3" x14ac:dyDescent="0.3">
      <c r="A196" s="2">
        <v>45937</v>
      </c>
      <c r="B196" s="1">
        <v>212.41</v>
      </c>
      <c r="C196" s="1">
        <f t="shared" si="3"/>
        <v>6.0149663730226875E-3</v>
      </c>
    </row>
    <row r="197" spans="1:3" x14ac:dyDescent="0.3">
      <c r="A197" s="2">
        <v>45907</v>
      </c>
      <c r="B197" s="1">
        <v>211.14</v>
      </c>
      <c r="C197" s="1">
        <f t="shared" si="3"/>
        <v>5.3806961573258198E-3</v>
      </c>
    </row>
    <row r="198" spans="1:3" x14ac:dyDescent="0.3">
      <c r="A198" s="2">
        <v>45876</v>
      </c>
      <c r="B198" s="1">
        <v>210.01</v>
      </c>
      <c r="C198" s="1">
        <f t="shared" si="3"/>
        <v>2.8578232912599322E-4</v>
      </c>
    </row>
    <row r="199" spans="1:3" x14ac:dyDescent="0.3">
      <c r="A199" s="2">
        <v>45845</v>
      </c>
      <c r="B199" s="1">
        <v>209.95</v>
      </c>
      <c r="C199" s="1">
        <f t="shared" si="3"/>
        <v>-1.6857878716928225E-2</v>
      </c>
    </row>
    <row r="200" spans="1:3" x14ac:dyDescent="0.3">
      <c r="A200" s="2">
        <v>45723</v>
      </c>
      <c r="B200" s="1">
        <v>213.55</v>
      </c>
      <c r="C200" s="1">
        <f t="shared" si="3"/>
        <v>5.2250047072115125E-3</v>
      </c>
    </row>
    <row r="201" spans="1:3" x14ac:dyDescent="0.3">
      <c r="A201" s="2">
        <v>45695</v>
      </c>
      <c r="B201" s="1">
        <v>212.44</v>
      </c>
      <c r="C201" s="1">
        <f t="shared" si="3"/>
        <v>2.2230776633625274E-2</v>
      </c>
    </row>
    <row r="202" spans="1:3" x14ac:dyDescent="0.3">
      <c r="A202" s="2">
        <v>45664</v>
      </c>
      <c r="B202" s="1">
        <v>207.82</v>
      </c>
      <c r="C202" s="1">
        <f t="shared" si="3"/>
        <v>1.2916118340888072E-2</v>
      </c>
    </row>
    <row r="203" spans="1:3" x14ac:dyDescent="0.3">
      <c r="A203" s="1" t="s">
        <v>120</v>
      </c>
      <c r="B203" s="1">
        <v>205.17</v>
      </c>
      <c r="C203" s="1">
        <f t="shared" si="3"/>
        <v>2.0340163119156429E-2</v>
      </c>
    </row>
    <row r="204" spans="1:3" x14ac:dyDescent="0.3">
      <c r="A204" s="1" t="s">
        <v>121</v>
      </c>
      <c r="B204" s="1">
        <v>201.08</v>
      </c>
      <c r="C204" s="1">
        <f t="shared" si="3"/>
        <v>3.9800995024881844E-4</v>
      </c>
    </row>
    <row r="205" spans="1:3" x14ac:dyDescent="0.3">
      <c r="A205" s="1" t="s">
        <v>122</v>
      </c>
      <c r="B205" s="1">
        <v>201</v>
      </c>
      <c r="C205" s="1">
        <f t="shared" si="3"/>
        <v>-2.7783290335384116E-3</v>
      </c>
    </row>
    <row r="206" spans="1:3" x14ac:dyDescent="0.3">
      <c r="A206" s="1" t="s">
        <v>123</v>
      </c>
      <c r="B206" s="1">
        <v>201.56</v>
      </c>
      <c r="C206" s="1">
        <f t="shared" si="3"/>
        <v>6.2905641537693005E-3</v>
      </c>
    </row>
    <row r="207" spans="1:3" x14ac:dyDescent="0.3">
      <c r="A207" s="1" t="s">
        <v>124</v>
      </c>
      <c r="B207" s="1">
        <v>200.3</v>
      </c>
      <c r="C207" s="1">
        <f t="shared" si="3"/>
        <v>-5.9553349875929957E-3</v>
      </c>
    </row>
    <row r="208" spans="1:3" x14ac:dyDescent="0.3">
      <c r="A208" s="1" t="s">
        <v>125</v>
      </c>
      <c r="B208" s="1">
        <v>201.5</v>
      </c>
      <c r="C208" s="1">
        <f t="shared" si="3"/>
        <v>2.4875621890547263E-3</v>
      </c>
    </row>
    <row r="209" spans="1:3" x14ac:dyDescent="0.3">
      <c r="A209" s="1" t="s">
        <v>126</v>
      </c>
      <c r="B209" s="1">
        <v>201</v>
      </c>
      <c r="C209" s="1">
        <f t="shared" si="3"/>
        <v>2.2484484688167602E-2</v>
      </c>
    </row>
    <row r="210" spans="1:3" x14ac:dyDescent="0.3">
      <c r="A210" s="1" t="s">
        <v>127</v>
      </c>
      <c r="B210" s="1">
        <v>196.58</v>
      </c>
      <c r="C210" s="1">
        <f t="shared" si="3"/>
        <v>4.8047434062565234E-3</v>
      </c>
    </row>
    <row r="211" spans="1:3" x14ac:dyDescent="0.3">
      <c r="A211" s="1" t="s">
        <v>128</v>
      </c>
      <c r="B211" s="1">
        <v>195.64</v>
      </c>
      <c r="C211" s="1">
        <f t="shared" si="3"/>
        <v>-1.4010684406813835E-2</v>
      </c>
    </row>
    <row r="212" spans="1:3" x14ac:dyDescent="0.3">
      <c r="A212" s="1" t="s">
        <v>129</v>
      </c>
      <c r="B212" s="1">
        <v>198.42</v>
      </c>
      <c r="C212" s="1">
        <f t="shared" si="3"/>
        <v>1.0027996945787727E-2</v>
      </c>
    </row>
    <row r="213" spans="1:3" x14ac:dyDescent="0.3">
      <c r="A213" s="1" t="s">
        <v>130</v>
      </c>
      <c r="B213" s="1">
        <v>196.45</v>
      </c>
      <c r="C213" s="1">
        <f t="shared" si="3"/>
        <v>-1.3805220883534136E-2</v>
      </c>
    </row>
    <row r="214" spans="1:3" x14ac:dyDescent="0.3">
      <c r="A214" s="2">
        <v>45997</v>
      </c>
      <c r="B214" s="1">
        <v>199.2</v>
      </c>
      <c r="C214" s="1">
        <f t="shared" si="3"/>
        <v>2.112888620585509E-3</v>
      </c>
    </row>
    <row r="215" spans="1:3" x14ac:dyDescent="0.3">
      <c r="A215" s="2">
        <v>45967</v>
      </c>
      <c r="B215" s="1">
        <v>198.78</v>
      </c>
      <c r="C215" s="1">
        <f t="shared" si="3"/>
        <v>-1.9193763260472622E-2</v>
      </c>
    </row>
    <row r="216" spans="1:3" x14ac:dyDescent="0.3">
      <c r="A216" s="2">
        <v>45936</v>
      </c>
      <c r="B216" s="1">
        <v>202.67</v>
      </c>
      <c r="C216" s="1">
        <f t="shared" si="3"/>
        <v>6.0560933234053062E-3</v>
      </c>
    </row>
    <row r="217" spans="1:3" x14ac:dyDescent="0.3">
      <c r="A217" s="2">
        <v>45906</v>
      </c>
      <c r="B217" s="1">
        <v>201.45</v>
      </c>
      <c r="C217" s="1">
        <f t="shared" si="3"/>
        <v>-1.2112593173793641E-2</v>
      </c>
    </row>
    <row r="218" spans="1:3" x14ac:dyDescent="0.3">
      <c r="A218" s="2">
        <v>45814</v>
      </c>
      <c r="B218" s="1">
        <v>203.92</v>
      </c>
      <c r="C218" s="1">
        <f t="shared" si="3"/>
        <v>1.6398345212580333E-2</v>
      </c>
    </row>
    <row r="219" spans="1:3" x14ac:dyDescent="0.3">
      <c r="A219" s="2">
        <v>45783</v>
      </c>
      <c r="B219" s="1">
        <v>200.63</v>
      </c>
      <c r="C219" s="1">
        <f t="shared" si="3"/>
        <v>-1.0797751701015669E-2</v>
      </c>
    </row>
    <row r="220" spans="1:3" x14ac:dyDescent="0.3">
      <c r="A220" s="2">
        <v>45753</v>
      </c>
      <c r="B220" s="1">
        <v>202.82</v>
      </c>
      <c r="C220" s="1">
        <f t="shared" si="3"/>
        <v>-2.2138042996999903E-3</v>
      </c>
    </row>
    <row r="221" spans="1:3" x14ac:dyDescent="0.3">
      <c r="A221" s="2">
        <v>45722</v>
      </c>
      <c r="B221" s="1">
        <v>203.27</v>
      </c>
      <c r="C221" s="1">
        <f t="shared" si="3"/>
        <v>7.7838373822509748E-3</v>
      </c>
    </row>
    <row r="222" spans="1:3" x14ac:dyDescent="0.3">
      <c r="A222" s="2">
        <v>45694</v>
      </c>
      <c r="B222" s="1">
        <v>201.7</v>
      </c>
      <c r="C222" s="1">
        <f t="shared" si="3"/>
        <v>4.2320139407517766E-3</v>
      </c>
    </row>
    <row r="223" spans="1:3" x14ac:dyDescent="0.3">
      <c r="A223" s="1" t="s">
        <v>131</v>
      </c>
      <c r="B223" s="1">
        <v>200.85</v>
      </c>
      <c r="C223" s="1">
        <f t="shared" si="3"/>
        <v>4.5011252813203584E-3</v>
      </c>
    </row>
    <row r="224" spans="1:3" x14ac:dyDescent="0.3">
      <c r="A224" s="1" t="s">
        <v>132</v>
      </c>
      <c r="B224" s="1">
        <v>199.95</v>
      </c>
      <c r="C224" s="1">
        <f t="shared" si="3"/>
        <v>-2.3450753417822517E-3</v>
      </c>
    </row>
    <row r="225" spans="1:3" x14ac:dyDescent="0.3">
      <c r="A225" s="1" t="s">
        <v>133</v>
      </c>
      <c r="B225" s="1">
        <v>200.42</v>
      </c>
      <c r="C225" s="1">
        <f t="shared" si="3"/>
        <v>1.0488986564106664E-3</v>
      </c>
    </row>
    <row r="226" spans="1:3" x14ac:dyDescent="0.3">
      <c r="A226" s="1" t="s">
        <v>134</v>
      </c>
      <c r="B226" s="1">
        <v>200.21</v>
      </c>
      <c r="C226" s="1">
        <f t="shared" si="3"/>
        <v>2.5298304911148654E-2</v>
      </c>
    </row>
    <row r="227" spans="1:3" x14ac:dyDescent="0.3">
      <c r="A227" s="1" t="s">
        <v>135</v>
      </c>
      <c r="B227" s="1">
        <v>195.27</v>
      </c>
      <c r="C227" s="1">
        <f t="shared" si="3"/>
        <v>-3.0244338498212172E-2</v>
      </c>
    </row>
    <row r="228" spans="1:3" x14ac:dyDescent="0.3">
      <c r="A228" s="1" t="s">
        <v>136</v>
      </c>
      <c r="B228" s="1">
        <v>201.36</v>
      </c>
      <c r="C228" s="1">
        <f t="shared" si="3"/>
        <v>-3.6122519669453696E-3</v>
      </c>
    </row>
    <row r="229" spans="1:3" x14ac:dyDescent="0.3">
      <c r="A229" s="1" t="s">
        <v>137</v>
      </c>
      <c r="B229" s="1">
        <v>202.09</v>
      </c>
      <c r="C229" s="1">
        <f t="shared" si="3"/>
        <v>-2.3059073769699363E-2</v>
      </c>
    </row>
    <row r="230" spans="1:3" x14ac:dyDescent="0.3">
      <c r="A230" s="1" t="s">
        <v>138</v>
      </c>
      <c r="B230" s="1">
        <v>206.86</v>
      </c>
      <c r="C230" s="1">
        <f t="shared" si="3"/>
        <v>-9.1962831688858493E-3</v>
      </c>
    </row>
    <row r="231" spans="1:3" x14ac:dyDescent="0.3">
      <c r="A231" s="1" t="s">
        <v>139</v>
      </c>
      <c r="B231" s="1">
        <v>208.78</v>
      </c>
      <c r="C231" s="1">
        <f t="shared" si="3"/>
        <v>-1.1739089273880478E-2</v>
      </c>
    </row>
    <row r="232" spans="1:3" x14ac:dyDescent="0.3">
      <c r="A232" s="1" t="s">
        <v>140</v>
      </c>
      <c r="B232" s="1">
        <v>211.26</v>
      </c>
      <c r="C232" s="1">
        <f t="shared" si="3"/>
        <v>-8.9855757862377739E-4</v>
      </c>
    </row>
    <row r="233" spans="1:3" x14ac:dyDescent="0.3">
      <c r="A233" s="1" t="s">
        <v>141</v>
      </c>
      <c r="B233" s="1">
        <v>211.45</v>
      </c>
      <c r="C233" s="1">
        <f t="shared" si="3"/>
        <v>-4.144492064239739E-3</v>
      </c>
    </row>
    <row r="234" spans="1:3" x14ac:dyDescent="0.3">
      <c r="A234" s="1" t="s">
        <v>142</v>
      </c>
      <c r="B234" s="1">
        <v>212.33</v>
      </c>
      <c r="C234" s="1">
        <f t="shared" si="3"/>
        <v>-2.8178274550321432E-3</v>
      </c>
    </row>
    <row r="235" spans="1:3" x14ac:dyDescent="0.3">
      <c r="A235" s="1" t="s">
        <v>143</v>
      </c>
      <c r="B235" s="1">
        <v>212.93</v>
      </c>
      <c r="C235" s="1">
        <f t="shared" si="3"/>
        <v>1.0152284263959461E-2</v>
      </c>
    </row>
    <row r="236" spans="1:3" x14ac:dyDescent="0.3">
      <c r="A236" s="2">
        <v>45996</v>
      </c>
      <c r="B236" s="1">
        <v>210.79</v>
      </c>
      <c r="C236" s="1">
        <f t="shared" si="3"/>
        <v>6.1753891099581883E-2</v>
      </c>
    </row>
    <row r="237" spans="1:3" x14ac:dyDescent="0.3">
      <c r="A237" s="2">
        <v>45905</v>
      </c>
      <c r="B237" s="1">
        <v>198.53</v>
      </c>
      <c r="C237" s="1">
        <f t="shared" si="3"/>
        <v>5.2660894222491868E-3</v>
      </c>
    </row>
    <row r="238" spans="1:3" x14ac:dyDescent="0.3">
      <c r="A238" s="2">
        <v>45874</v>
      </c>
      <c r="B238" s="1">
        <v>197.49</v>
      </c>
      <c r="C238" s="1">
        <f t="shared" si="3"/>
        <v>6.3184713375796639E-3</v>
      </c>
    </row>
    <row r="239" spans="1:3" x14ac:dyDescent="0.3">
      <c r="A239" s="2">
        <v>45843</v>
      </c>
      <c r="B239" s="1">
        <v>196.25</v>
      </c>
      <c r="C239" s="1">
        <f t="shared" si="3"/>
        <v>-1.1384816885799159E-2</v>
      </c>
    </row>
    <row r="240" spans="1:3" x14ac:dyDescent="0.3">
      <c r="A240" s="2">
        <v>45813</v>
      </c>
      <c r="B240" s="1">
        <v>198.51</v>
      </c>
      <c r="C240" s="1">
        <f t="shared" si="3"/>
        <v>-1.9106038513751092E-3</v>
      </c>
    </row>
    <row r="241" spans="1:3" x14ac:dyDescent="0.3">
      <c r="A241" s="2">
        <v>45782</v>
      </c>
      <c r="B241" s="1">
        <v>198.89</v>
      </c>
      <c r="C241" s="1">
        <f t="shared" si="3"/>
        <v>-3.1458485512539609E-2</v>
      </c>
    </row>
    <row r="242" spans="1:3" x14ac:dyDescent="0.3">
      <c r="A242" s="2">
        <v>45693</v>
      </c>
      <c r="B242" s="1">
        <v>205.35</v>
      </c>
      <c r="C242" s="1">
        <f t="shared" si="3"/>
        <v>-3.7361710106881676E-2</v>
      </c>
    </row>
    <row r="243" spans="1:3" x14ac:dyDescent="0.3">
      <c r="A243" s="2">
        <v>45662</v>
      </c>
      <c r="B243" s="1">
        <v>213.32</v>
      </c>
      <c r="C243" s="1">
        <f t="shared" si="3"/>
        <v>3.8588235294117327E-3</v>
      </c>
    </row>
    <row r="244" spans="1:3" x14ac:dyDescent="0.3">
      <c r="A244" s="1" t="s">
        <v>144</v>
      </c>
      <c r="B244" s="1">
        <v>212.5</v>
      </c>
      <c r="C244" s="1">
        <f t="shared" si="3"/>
        <v>6.1076653567539033E-3</v>
      </c>
    </row>
    <row r="245" spans="1:3" x14ac:dyDescent="0.3">
      <c r="A245" s="1" t="s">
        <v>145</v>
      </c>
      <c r="B245" s="1">
        <v>211.21</v>
      </c>
      <c r="C245" s="1">
        <f t="shared" si="3"/>
        <v>5.091843532882943E-3</v>
      </c>
    </row>
    <row r="246" spans="1:3" x14ac:dyDescent="0.3">
      <c r="A246" s="1" t="s">
        <v>146</v>
      </c>
      <c r="B246" s="1">
        <v>210.14</v>
      </c>
      <c r="C246" s="1">
        <f t="shared" si="3"/>
        <v>4.1093272171253119E-3</v>
      </c>
    </row>
    <row r="247" spans="1:3" x14ac:dyDescent="0.3">
      <c r="A247" s="1" t="s">
        <v>147</v>
      </c>
      <c r="B247" s="1">
        <v>209.28</v>
      </c>
      <c r="C247" s="1">
        <f t="shared" si="3"/>
        <v>4.3672313672793424E-3</v>
      </c>
    </row>
    <row r="248" spans="1:3" x14ac:dyDescent="0.3">
      <c r="A248" s="1" t="s">
        <v>148</v>
      </c>
      <c r="B248" s="1">
        <v>208.37</v>
      </c>
      <c r="C248" s="1">
        <f t="shared" si="3"/>
        <v>1.8426197458455574E-2</v>
      </c>
    </row>
    <row r="249" spans="1:3" x14ac:dyDescent="0.3">
      <c r="A249" s="1" t="s">
        <v>149</v>
      </c>
      <c r="B249" s="1">
        <v>204.6</v>
      </c>
      <c r="C249" s="1">
        <f t="shared" si="3"/>
        <v>2.4331631120456519E-2</v>
      </c>
    </row>
    <row r="250" spans="1:3" x14ac:dyDescent="0.3">
      <c r="A250" s="1" t="s">
        <v>150</v>
      </c>
      <c r="B250" s="1">
        <v>199.74</v>
      </c>
      <c r="C250" s="1">
        <f t="shared" si="3"/>
        <v>3.4065023814454407E-2</v>
      </c>
    </row>
    <row r="251" spans="1:3" x14ac:dyDescent="0.3">
      <c r="A251" s="1" t="s">
        <v>151</v>
      </c>
      <c r="B251" s="1">
        <v>193.16</v>
      </c>
      <c r="C251" s="1">
        <f t="shared" si="3"/>
        <v>-1.9392831759569466E-2</v>
      </c>
    </row>
    <row r="252" spans="1:3" x14ac:dyDescent="0.3">
      <c r="A252" s="1" t="s">
        <v>152</v>
      </c>
      <c r="B252" s="1">
        <v>196.98</v>
      </c>
      <c r="C252" s="1">
        <f t="shared" si="3"/>
        <v>1.3949657692901525E-2</v>
      </c>
    </row>
    <row r="253" spans="1:3" x14ac:dyDescent="0.3">
      <c r="A253" s="1" t="s">
        <v>153</v>
      </c>
      <c r="B253" s="1">
        <v>194.27</v>
      </c>
      <c r="C253" s="1">
        <f t="shared" si="3"/>
        <v>-3.8933412486395452E-2</v>
      </c>
    </row>
    <row r="254" spans="1:3" x14ac:dyDescent="0.3">
      <c r="A254" s="1" t="s">
        <v>154</v>
      </c>
      <c r="B254" s="1">
        <v>202.14</v>
      </c>
      <c r="C254" s="1">
        <f t="shared" si="3"/>
        <v>-1.8763578905788261E-3</v>
      </c>
    </row>
    <row r="255" spans="1:3" x14ac:dyDescent="0.3">
      <c r="A255" s="1" t="s">
        <v>155</v>
      </c>
      <c r="B255" s="1">
        <v>202.52</v>
      </c>
      <c r="C255" s="1">
        <f t="shared" si="3"/>
        <v>2.2053999495331843E-2</v>
      </c>
    </row>
    <row r="256" spans="1:3" x14ac:dyDescent="0.3">
      <c r="A256" s="2">
        <v>45965</v>
      </c>
      <c r="B256" s="1">
        <v>198.15</v>
      </c>
      <c r="C256" s="1">
        <f t="shared" si="3"/>
        <v>4.059447537023432E-2</v>
      </c>
    </row>
    <row r="257" spans="1:3" x14ac:dyDescent="0.3">
      <c r="A257" s="2">
        <v>45934</v>
      </c>
      <c r="B257" s="1">
        <v>190.42</v>
      </c>
      <c r="C257" s="1">
        <f t="shared" si="3"/>
        <v>-4.2393764143827041E-2</v>
      </c>
    </row>
    <row r="258" spans="1:3" x14ac:dyDescent="0.3">
      <c r="A258" s="2">
        <v>45904</v>
      </c>
      <c r="B258" s="1">
        <v>198.85</v>
      </c>
      <c r="C258" s="1">
        <f t="shared" si="3"/>
        <v>0.15328848161466194</v>
      </c>
    </row>
    <row r="259" spans="1:3" x14ac:dyDescent="0.3">
      <c r="A259" s="2">
        <v>45873</v>
      </c>
      <c r="B259" s="1">
        <v>172.42</v>
      </c>
      <c r="C259" s="1">
        <f t="shared" ref="C259:C322" si="4">(B259-B260)/B260</f>
        <v>-4.9818141739226385E-2</v>
      </c>
    </row>
    <row r="260" spans="1:3" x14ac:dyDescent="0.3">
      <c r="A260" s="2">
        <v>45842</v>
      </c>
      <c r="B260" s="1">
        <v>181.46</v>
      </c>
      <c r="C260" s="1">
        <f t="shared" si="4"/>
        <v>-3.6734260537211953E-2</v>
      </c>
    </row>
    <row r="261" spans="1:3" x14ac:dyDescent="0.3">
      <c r="A261" s="2">
        <v>45751</v>
      </c>
      <c r="B261" s="1">
        <v>188.38</v>
      </c>
      <c r="C261" s="1">
        <f t="shared" si="4"/>
        <v>-7.2887445248289787E-2</v>
      </c>
    </row>
    <row r="262" spans="1:3" x14ac:dyDescent="0.3">
      <c r="A262" s="2">
        <v>45720</v>
      </c>
      <c r="B262" s="1">
        <v>203.19</v>
      </c>
      <c r="C262" s="1">
        <f t="shared" si="4"/>
        <v>-9.2456116843092545E-2</v>
      </c>
    </row>
    <row r="263" spans="1:3" x14ac:dyDescent="0.3">
      <c r="A263" s="2">
        <v>45692</v>
      </c>
      <c r="B263" s="1">
        <v>223.89</v>
      </c>
      <c r="C263" s="1">
        <f t="shared" si="4"/>
        <v>3.1363412339262004E-3</v>
      </c>
    </row>
    <row r="264" spans="1:3" x14ac:dyDescent="0.3">
      <c r="A264" s="2">
        <v>45661</v>
      </c>
      <c r="B264" s="1">
        <v>223.19</v>
      </c>
      <c r="C264" s="1">
        <f t="shared" si="4"/>
        <v>4.7719803718543298E-3</v>
      </c>
    </row>
    <row r="265" spans="1:3" x14ac:dyDescent="0.3">
      <c r="A265" s="1" t="s">
        <v>156</v>
      </c>
      <c r="B265" s="1">
        <v>222.13</v>
      </c>
      <c r="C265" s="1">
        <f t="shared" si="4"/>
        <v>1.9412574575493297E-2</v>
      </c>
    </row>
    <row r="266" spans="1:3" x14ac:dyDescent="0.3">
      <c r="A266" s="1" t="s">
        <v>157</v>
      </c>
      <c r="B266" s="1">
        <v>217.9</v>
      </c>
      <c r="C266" s="1">
        <f t="shared" si="4"/>
        <v>-2.6580299307571983E-2</v>
      </c>
    </row>
    <row r="267" spans="1:3" x14ac:dyDescent="0.3">
      <c r="A267" s="1" t="s">
        <v>158</v>
      </c>
      <c r="B267" s="1">
        <v>223.85</v>
      </c>
      <c r="C267" s="1">
        <f t="shared" si="4"/>
        <v>1.0472622218209693E-2</v>
      </c>
    </row>
    <row r="268" spans="1:3" x14ac:dyDescent="0.3">
      <c r="A268" s="1" t="s">
        <v>159</v>
      </c>
      <c r="B268" s="1">
        <v>221.53</v>
      </c>
      <c r="C268" s="1">
        <f t="shared" si="4"/>
        <v>-9.9217877094972019E-3</v>
      </c>
    </row>
    <row r="269" spans="1:3" x14ac:dyDescent="0.3">
      <c r="A269" s="1" t="s">
        <v>160</v>
      </c>
      <c r="B269" s="1">
        <v>223.75</v>
      </c>
      <c r="C269" s="1">
        <f t="shared" si="4"/>
        <v>1.3681873782449193E-2</v>
      </c>
    </row>
    <row r="270" spans="1:3" x14ac:dyDescent="0.3">
      <c r="A270" s="1" t="s">
        <v>161</v>
      </c>
      <c r="B270" s="1">
        <v>220.73</v>
      </c>
      <c r="C270" s="1">
        <f t="shared" si="4"/>
        <v>1.1270444861868234E-2</v>
      </c>
    </row>
    <row r="271" spans="1:3" x14ac:dyDescent="0.3">
      <c r="A271" s="1" t="s">
        <v>162</v>
      </c>
      <c r="B271" s="1">
        <v>218.27</v>
      </c>
      <c r="C271" s="1">
        <f t="shared" si="4"/>
        <v>1.9476879962634357E-2</v>
      </c>
    </row>
    <row r="272" spans="1:3" x14ac:dyDescent="0.3">
      <c r="A272" s="1" t="s">
        <v>163</v>
      </c>
      <c r="B272" s="1">
        <v>214.1</v>
      </c>
      <c r="C272" s="1">
        <f t="shared" si="4"/>
        <v>-5.2964133060770056E-3</v>
      </c>
    </row>
    <row r="273" spans="1:3" x14ac:dyDescent="0.3">
      <c r="A273" s="1" t="s">
        <v>164</v>
      </c>
      <c r="B273" s="1">
        <v>215.24</v>
      </c>
      <c r="C273" s="1">
        <f t="shared" si="4"/>
        <v>1.1989280173021822E-2</v>
      </c>
    </row>
    <row r="274" spans="1:3" x14ac:dyDescent="0.3">
      <c r="A274" s="1" t="s">
        <v>165</v>
      </c>
      <c r="B274" s="1">
        <v>212.69</v>
      </c>
      <c r="C274" s="1">
        <f t="shared" si="4"/>
        <v>-6.1214953271028147E-3</v>
      </c>
    </row>
    <row r="275" spans="1:3" x14ac:dyDescent="0.3">
      <c r="A275" s="1" t="s">
        <v>166</v>
      </c>
      <c r="B275" s="1">
        <v>214</v>
      </c>
      <c r="C275" s="1">
        <f t="shared" si="4"/>
        <v>2.3888706730994E-3</v>
      </c>
    </row>
    <row r="276" spans="1:3" x14ac:dyDescent="0.3">
      <c r="A276" s="1" t="s">
        <v>167</v>
      </c>
      <c r="B276" s="1">
        <v>213.49</v>
      </c>
      <c r="C276" s="1">
        <f t="shared" si="4"/>
        <v>1.8170545593285015E-2</v>
      </c>
    </row>
    <row r="277" spans="1:3" x14ac:dyDescent="0.3">
      <c r="A277" s="1" t="s">
        <v>168</v>
      </c>
      <c r="B277" s="1">
        <v>209.68</v>
      </c>
      <c r="C277" s="1">
        <f t="shared" si="4"/>
        <v>-3.3643653792976236E-2</v>
      </c>
    </row>
    <row r="278" spans="1:3" x14ac:dyDescent="0.3">
      <c r="A278" s="2">
        <v>45994</v>
      </c>
      <c r="B278" s="1">
        <v>216.98</v>
      </c>
      <c r="C278" s="1">
        <f t="shared" si="4"/>
        <v>-1.747871762361897E-2</v>
      </c>
    </row>
    <row r="279" spans="1:3" x14ac:dyDescent="0.3">
      <c r="A279" s="2">
        <v>45964</v>
      </c>
      <c r="B279" s="1">
        <v>220.84</v>
      </c>
      <c r="C279" s="1">
        <f t="shared" si="4"/>
        <v>-2.9189379286091027E-2</v>
      </c>
    </row>
    <row r="280" spans="1:3" x14ac:dyDescent="0.3">
      <c r="A280" s="2">
        <v>45933</v>
      </c>
      <c r="B280" s="1">
        <v>227.48</v>
      </c>
      <c r="C280" s="1">
        <f t="shared" si="4"/>
        <v>-4.8479524825364974E-2</v>
      </c>
    </row>
    <row r="281" spans="1:3" x14ac:dyDescent="0.3">
      <c r="A281" s="2">
        <v>45841</v>
      </c>
      <c r="B281" s="1">
        <v>239.07</v>
      </c>
      <c r="C281" s="1">
        <f t="shared" si="4"/>
        <v>1.5892576382101647E-2</v>
      </c>
    </row>
    <row r="282" spans="1:3" x14ac:dyDescent="0.3">
      <c r="A282" s="2">
        <v>45811</v>
      </c>
      <c r="B282" s="1">
        <v>235.33</v>
      </c>
      <c r="C282" s="1">
        <f t="shared" si="4"/>
        <v>-1.7392042080257766E-3</v>
      </c>
    </row>
    <row r="283" spans="1:3" x14ac:dyDescent="0.3">
      <c r="A283" s="2">
        <v>45780</v>
      </c>
      <c r="B283" s="1">
        <v>235.74</v>
      </c>
      <c r="C283" s="1">
        <f t="shared" si="4"/>
        <v>-8.0532361293603064E-4</v>
      </c>
    </row>
    <row r="284" spans="1:3" x14ac:dyDescent="0.3">
      <c r="A284" s="2">
        <v>45750</v>
      </c>
      <c r="B284" s="1">
        <v>235.93</v>
      </c>
      <c r="C284" s="1">
        <f t="shared" si="4"/>
        <v>-8.8224173423517797E-3</v>
      </c>
    </row>
    <row r="285" spans="1:3" x14ac:dyDescent="0.3">
      <c r="A285" s="2">
        <v>45719</v>
      </c>
      <c r="B285" s="1">
        <v>238.03</v>
      </c>
      <c r="C285" s="1">
        <f t="shared" si="4"/>
        <v>-1.5754217664571628E-2</v>
      </c>
    </row>
    <row r="286" spans="1:3" x14ac:dyDescent="0.3">
      <c r="A286" s="1" t="s">
        <v>169</v>
      </c>
      <c r="B286" s="1">
        <v>241.84</v>
      </c>
      <c r="C286" s="1">
        <f t="shared" si="4"/>
        <v>1.9131900547829716E-2</v>
      </c>
    </row>
    <row r="287" spans="1:3" x14ac:dyDescent="0.3">
      <c r="A287" s="1" t="s">
        <v>170</v>
      </c>
      <c r="B287" s="1">
        <v>237.3</v>
      </c>
      <c r="C287" s="1">
        <f t="shared" si="4"/>
        <v>-1.273090364453321E-2</v>
      </c>
    </row>
    <row r="288" spans="1:3" x14ac:dyDescent="0.3">
      <c r="A288" s="1" t="s">
        <v>171</v>
      </c>
      <c r="B288" s="1">
        <v>240.36</v>
      </c>
      <c r="C288" s="1">
        <f t="shared" si="4"/>
        <v>-2.704015544041442E-2</v>
      </c>
    </row>
    <row r="289" spans="1:3" x14ac:dyDescent="0.3">
      <c r="A289" s="1" t="s">
        <v>172</v>
      </c>
      <c r="B289" s="1">
        <v>247.04</v>
      </c>
      <c r="C289" s="1">
        <f t="shared" si="4"/>
        <v>-2.4281667341158347E-4</v>
      </c>
    </row>
    <row r="290" spans="1:3" x14ac:dyDescent="0.3">
      <c r="A290" s="1" t="s">
        <v>173</v>
      </c>
      <c r="B290" s="1">
        <v>247.1</v>
      </c>
      <c r="C290" s="1">
        <f t="shared" si="4"/>
        <v>6.3123600081449113E-3</v>
      </c>
    </row>
    <row r="291" spans="1:3" x14ac:dyDescent="0.3">
      <c r="A291" s="1" t="s">
        <v>174</v>
      </c>
      <c r="B291" s="1">
        <v>245.55</v>
      </c>
      <c r="C291" s="1">
        <f t="shared" si="4"/>
        <v>-1.1389984948948506E-3</v>
      </c>
    </row>
    <row r="292" spans="1:3" x14ac:dyDescent="0.3">
      <c r="A292" s="1" t="s">
        <v>175</v>
      </c>
      <c r="B292" s="1">
        <v>245.83</v>
      </c>
      <c r="C292" s="1">
        <f t="shared" si="4"/>
        <v>3.9204475844325888E-3</v>
      </c>
    </row>
    <row r="293" spans="1:3" x14ac:dyDescent="0.3">
      <c r="A293" s="1" t="s">
        <v>176</v>
      </c>
      <c r="B293" s="1">
        <v>244.87</v>
      </c>
      <c r="C293" s="1">
        <f t="shared" si="4"/>
        <v>1.6361925798666736E-3</v>
      </c>
    </row>
    <row r="294" spans="1:3" x14ac:dyDescent="0.3">
      <c r="A294" s="1" t="s">
        <v>177</v>
      </c>
      <c r="B294" s="1">
        <v>244.47</v>
      </c>
      <c r="C294" s="1">
        <f t="shared" si="4"/>
        <v>-5.3147996729352193E-4</v>
      </c>
    </row>
    <row r="295" spans="1:3" x14ac:dyDescent="0.3">
      <c r="A295" s="1" t="s">
        <v>178</v>
      </c>
      <c r="B295" s="1">
        <v>244.6</v>
      </c>
      <c r="C295" s="1">
        <f t="shared" si="4"/>
        <v>1.2710636359872452E-2</v>
      </c>
    </row>
    <row r="296" spans="1:3" x14ac:dyDescent="0.3">
      <c r="A296" s="1" t="s">
        <v>179</v>
      </c>
      <c r="B296" s="1">
        <v>241.53</v>
      </c>
      <c r="C296" s="1">
        <f t="shared" si="4"/>
        <v>1.9673238485245055E-2</v>
      </c>
    </row>
    <row r="297" spans="1:3" x14ac:dyDescent="0.3">
      <c r="A297" s="2">
        <v>45993</v>
      </c>
      <c r="B297" s="1">
        <v>236.87</v>
      </c>
      <c r="C297" s="1">
        <f>(B297-B298)/B298</f>
        <v>1.8270140142722036E-2</v>
      </c>
    </row>
    <row r="298" spans="1:3" x14ac:dyDescent="0.3">
      <c r="A298" s="2">
        <v>45963</v>
      </c>
      <c r="B298" s="1">
        <v>232.62</v>
      </c>
      <c r="C298" s="1">
        <f t="shared" ref="C298:C309" si="5">(B298-B299)/B299</f>
        <v>2.1831759279595866E-2</v>
      </c>
    </row>
    <row r="299" spans="1:3" x14ac:dyDescent="0.3">
      <c r="A299" s="2">
        <v>45932</v>
      </c>
      <c r="B299" s="1">
        <v>227.65</v>
      </c>
      <c r="C299" s="1">
        <f t="shared" si="5"/>
        <v>8.7861881122919789E-5</v>
      </c>
    </row>
    <row r="300" spans="1:3" x14ac:dyDescent="0.3">
      <c r="A300" s="2">
        <v>45840</v>
      </c>
      <c r="B300" s="1">
        <v>227.63</v>
      </c>
      <c r="C300" s="1">
        <f t="shared" si="5"/>
        <v>-2.396878483835007E-2</v>
      </c>
    </row>
    <row r="301" spans="1:3" x14ac:dyDescent="0.3">
      <c r="A301" s="2">
        <v>45810</v>
      </c>
      <c r="B301" s="1">
        <v>233.22</v>
      </c>
      <c r="C301" s="1">
        <f t="shared" si="5"/>
        <v>3.2262227384178602E-3</v>
      </c>
    </row>
    <row r="302" spans="1:3" x14ac:dyDescent="0.3">
      <c r="A302" s="2">
        <v>45779</v>
      </c>
      <c r="B302" s="1">
        <v>232.47</v>
      </c>
      <c r="C302" s="1">
        <f t="shared" si="5"/>
        <v>-1.41752577319593E-3</v>
      </c>
    </row>
    <row r="303" spans="1:3" x14ac:dyDescent="0.3">
      <c r="A303" s="2">
        <v>45749</v>
      </c>
      <c r="B303" s="1">
        <v>232.8</v>
      </c>
      <c r="C303" s="1">
        <f t="shared" si="5"/>
        <v>2.1007850532871457E-2</v>
      </c>
    </row>
    <row r="304" spans="1:3" x14ac:dyDescent="0.3">
      <c r="A304" s="2">
        <v>45718</v>
      </c>
      <c r="B304" s="1">
        <v>228.01</v>
      </c>
      <c r="C304" s="1">
        <f t="shared" si="5"/>
        <v>-3.3855932203389866E-2</v>
      </c>
    </row>
    <row r="305" spans="1:3" x14ac:dyDescent="0.3">
      <c r="A305" s="1" t="s">
        <v>180</v>
      </c>
      <c r="B305" s="1">
        <v>236</v>
      </c>
      <c r="C305" s="1">
        <f t="shared" si="5"/>
        <v>-6.6922008502041472E-3</v>
      </c>
    </row>
    <row r="306" spans="1:3" x14ac:dyDescent="0.3">
      <c r="A306" s="1" t="s">
        <v>181</v>
      </c>
      <c r="B306" s="1">
        <v>237.59</v>
      </c>
      <c r="C306" s="1">
        <f t="shared" si="5"/>
        <v>-7.394719251336941E-3</v>
      </c>
    </row>
    <row r="307" spans="1:3" x14ac:dyDescent="0.3">
      <c r="A307" s="1" t="s">
        <v>182</v>
      </c>
      <c r="B307" s="1">
        <v>239.36</v>
      </c>
      <c r="C307" s="1">
        <f t="shared" si="5"/>
        <v>4.6168051708218869E-3</v>
      </c>
    </row>
    <row r="308" spans="1:3" x14ac:dyDescent="0.3">
      <c r="A308" s="1" t="s">
        <v>183</v>
      </c>
      <c r="B308" s="1">
        <v>238.26</v>
      </c>
      <c r="C308" s="1">
        <f t="shared" si="5"/>
        <v>3.6543983294178961E-2</v>
      </c>
    </row>
    <row r="309" spans="1:3" x14ac:dyDescent="0.3">
      <c r="A309" s="1" t="s">
        <v>184</v>
      </c>
      <c r="B309" s="1">
        <v>229.86</v>
      </c>
      <c r="C309" s="1">
        <f t="shared" si="5"/>
        <v>3.1780231618637279E-2</v>
      </c>
    </row>
    <row r="310" spans="1:3" x14ac:dyDescent="0.3">
      <c r="A310" s="1" t="s">
        <v>185</v>
      </c>
      <c r="B310" s="1">
        <v>222.78</v>
      </c>
      <c r="C310" s="1">
        <f>(B310-B311)/B311</f>
        <v>-3.934543503532127E-3</v>
      </c>
    </row>
    <row r="311" spans="1:3" x14ac:dyDescent="0.3">
      <c r="A311" s="1" t="s">
        <v>186</v>
      </c>
      <c r="B311" s="1">
        <v>223.66</v>
      </c>
      <c r="C311" s="1">
        <f t="shared" ref="C311:C324" si="6">(B311-B312)/B312</f>
        <v>-7.5950498145921418E-4</v>
      </c>
    </row>
    <row r="312" spans="1:3" x14ac:dyDescent="0.3">
      <c r="A312" s="1" t="s">
        <v>187</v>
      </c>
      <c r="B312" s="1">
        <v>223.83</v>
      </c>
      <c r="C312" s="1">
        <f t="shared" si="6"/>
        <v>5.3449514911966681E-3</v>
      </c>
    </row>
    <row r="313" spans="1:3" x14ac:dyDescent="0.3">
      <c r="A313" s="1" t="s">
        <v>188</v>
      </c>
      <c r="B313" s="1">
        <v>222.64</v>
      </c>
      <c r="C313" s="1">
        <f t="shared" si="6"/>
        <v>-3.1915818766849305E-2</v>
      </c>
    </row>
    <row r="314" spans="1:3" x14ac:dyDescent="0.3">
      <c r="A314" s="1" t="s">
        <v>189</v>
      </c>
      <c r="B314" s="1">
        <v>229.98</v>
      </c>
      <c r="C314" s="1">
        <f t="shared" si="6"/>
        <v>7.5352668010163805E-3</v>
      </c>
    </row>
    <row r="315" spans="1:3" x14ac:dyDescent="0.3">
      <c r="A315" s="1" t="s">
        <v>190</v>
      </c>
      <c r="B315" s="1">
        <v>228.26</v>
      </c>
      <c r="C315" s="1">
        <f t="shared" si="6"/>
        <v>-4.0400218606802089E-2</v>
      </c>
    </row>
    <row r="316" spans="1:3" x14ac:dyDescent="0.3">
      <c r="A316" s="1" t="s">
        <v>191</v>
      </c>
      <c r="B316" s="1">
        <v>237.87</v>
      </c>
      <c r="C316" s="1">
        <f t="shared" si="6"/>
        <v>1.967592592592594E-2</v>
      </c>
    </row>
    <row r="317" spans="1:3" x14ac:dyDescent="0.3">
      <c r="A317" s="1" t="s">
        <v>192</v>
      </c>
      <c r="B317" s="1">
        <v>233.28</v>
      </c>
      <c r="C317" s="1">
        <f t="shared" si="6"/>
        <v>-4.7781569965870503E-3</v>
      </c>
    </row>
    <row r="318" spans="1:3" x14ac:dyDescent="0.3">
      <c r="A318" s="1" t="s">
        <v>193</v>
      </c>
      <c r="B318" s="1">
        <v>234.4</v>
      </c>
      <c r="C318" s="1">
        <f t="shared" si="6"/>
        <v>-1.0344099641123025E-2</v>
      </c>
    </row>
    <row r="319" spans="1:3" x14ac:dyDescent="0.3">
      <c r="A319" s="2">
        <v>45931</v>
      </c>
      <c r="B319" s="1">
        <v>236.85</v>
      </c>
      <c r="C319" s="1">
        <f t="shared" si="6"/>
        <v>-2.4103831891223712E-2</v>
      </c>
    </row>
    <row r="320" spans="1:3" x14ac:dyDescent="0.3">
      <c r="A320" s="2">
        <v>45870</v>
      </c>
      <c r="B320" s="1">
        <v>242.7</v>
      </c>
      <c r="C320" s="1">
        <f t="shared" si="6"/>
        <v>2.0230378597084374E-3</v>
      </c>
    </row>
    <row r="321" spans="1:3" x14ac:dyDescent="0.3">
      <c r="A321" s="2">
        <v>45839</v>
      </c>
      <c r="B321" s="1">
        <v>242.21</v>
      </c>
      <c r="C321" s="1">
        <f t="shared" si="6"/>
        <v>-1.1387755102040783E-2</v>
      </c>
    </row>
    <row r="322" spans="1:3" x14ac:dyDescent="0.3">
      <c r="A322" s="2">
        <v>45809</v>
      </c>
      <c r="B322" s="1">
        <v>245</v>
      </c>
      <c r="C322" s="1">
        <f t="shared" si="6"/>
        <v>6.7389875082182211E-3</v>
      </c>
    </row>
    <row r="323" spans="1:3" x14ac:dyDescent="0.3">
      <c r="A323" s="2">
        <v>45717</v>
      </c>
      <c r="B323" s="1">
        <v>243.36</v>
      </c>
      <c r="C323" s="1">
        <f t="shared" si="6"/>
        <v>-2.0094320278859165E-3</v>
      </c>
    </row>
    <row r="324" spans="1:3" x14ac:dyDescent="0.3">
      <c r="A324" s="2">
        <v>45689</v>
      </c>
      <c r="B324" s="1">
        <v>243.85</v>
      </c>
      <c r="C324" s="1"/>
    </row>
    <row r="325" spans="1:3" x14ac:dyDescent="0.3">
      <c r="A325" s="1"/>
      <c r="B325" s="1"/>
      <c r="C3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Stock Price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Shahzaib</dc:creator>
  <cp:lastModifiedBy>LHCICSSM2252641</cp:lastModifiedBy>
  <dcterms:created xsi:type="dcterms:W3CDTF">2026-04-17T17:35:26Z</dcterms:created>
  <dcterms:modified xsi:type="dcterms:W3CDTF">2026-04-17T17:35:26Z</dcterms:modified>
</cp:coreProperties>
</file>